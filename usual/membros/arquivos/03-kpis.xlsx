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(mês)" sheetId="1" state="visible" r:id="rId1"/>
    <sheet xmlns:r="http://schemas.openxmlformats.org/officeDocument/2006/relationships" name="Histórico 12 me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color rgb="002E2E33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color rgb="002E2E33"/>
      <sz val="10"/>
    </font>
    <font>
      <name val="Arial"/>
      <color rgb="008C8C93"/>
      <sz val="9"/>
    </font>
    <font>
      <name val="Arial"/>
      <color rgb="008C8C93"/>
      <sz val="10"/>
    </font>
  </fonts>
  <fills count="6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</fills>
  <borders count="2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16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6" customWidth="1" min="4" max="4"/>
  </cols>
  <sheetData>
    <row r="1" ht="30" customHeight="1">
      <c r="A1" s="1" t="inlineStr">
        <is>
          <t>DASHBOARD COMERCIAL DO MÊS  ·  USUAL DIGITAL</t>
        </is>
      </c>
    </row>
    <row r="2" ht="16" customHeight="1">
      <c r="A2" s="2" t="inlineStr">
        <is>
          <t>Preencha as células amarelas com os números do mês. Os indicadores são calculados sozinhos.</t>
        </is>
      </c>
    </row>
    <row r="4" ht="20" customHeight="1">
      <c r="A4" s="3" t="inlineStr">
        <is>
          <t>DADOS DO MÊS (PREENCHA)</t>
        </is>
      </c>
    </row>
    <row r="5">
      <c r="A5" s="4" t="inlineStr">
        <is>
          <t>Investimento em marketing (R$)</t>
        </is>
      </c>
      <c r="B5" s="5" t="n">
        <v>8000</v>
      </c>
    </row>
    <row r="6">
      <c r="A6" s="4" t="inlineStr">
        <is>
          <t>Leads gerados</t>
        </is>
      </c>
      <c r="B6" s="6" t="n">
        <v>600</v>
      </c>
    </row>
    <row r="7">
      <c r="A7" s="4" t="inlineStr">
        <is>
          <t>Reuniões agendadas</t>
        </is>
      </c>
      <c r="B7" s="6" t="n">
        <v>90</v>
      </c>
    </row>
    <row r="8">
      <c r="A8" s="4" t="inlineStr">
        <is>
          <t>Reuniões realizadas</t>
        </is>
      </c>
      <c r="B8" s="6" t="n">
        <v>63</v>
      </c>
    </row>
    <row r="9">
      <c r="A9" s="4" t="inlineStr">
        <is>
          <t>Vendas fechadas</t>
        </is>
      </c>
      <c r="B9" s="6" t="n">
        <v>16</v>
      </c>
    </row>
    <row r="10">
      <c r="A10" s="4" t="inlineStr">
        <is>
          <t>Faturamento (R$)</t>
        </is>
      </c>
      <c r="B10" s="5" t="n">
        <v>80000</v>
      </c>
    </row>
    <row r="12" ht="20" customHeight="1">
      <c r="A12" s="3" t="inlineStr">
        <is>
          <t>INDICADORES (AUTOMÁTICO)</t>
        </is>
      </c>
    </row>
    <row r="13" ht="26" customHeight="1">
      <c r="A13" s="7" t="inlineStr">
        <is>
          <t>Indicador</t>
        </is>
      </c>
      <c r="B13" s="7" t="inlineStr">
        <is>
          <t>Seu número</t>
        </is>
      </c>
      <c r="C13" s="7" t="inlineStr">
        <is>
          <t>KPI ideal</t>
        </is>
      </c>
      <c r="D13" s="7" t="inlineStr">
        <is>
          <t>Status</t>
        </is>
      </c>
    </row>
    <row r="14" ht="18" customHeight="1">
      <c r="A14" s="8" t="inlineStr">
        <is>
          <t>Custo por lead</t>
        </is>
      </c>
      <c r="B14" s="9">
        <f>IFERROR(B5/B6,0)</f>
        <v/>
      </c>
      <c r="C14" s="10" t="inlineStr">
        <is>
          <t>o menor possível</t>
        </is>
      </c>
      <c r="D14" s="11" t="inlineStr">
        <is>
          <t>-</t>
        </is>
      </c>
    </row>
    <row r="15" ht="18" customHeight="1">
      <c r="A15" s="8" t="inlineStr">
        <is>
          <t>Taxa de agendamento</t>
        </is>
      </c>
      <c r="B15" s="12">
        <f>IFERROR(B7/B6,0)</f>
        <v/>
      </c>
      <c r="C15" s="10" t="inlineStr">
        <is>
          <t>&gt; 20% (mín 12%)</t>
        </is>
      </c>
      <c r="D15" s="13">
        <f>IF(B15&gt;=0.2,"OK",IF(B15&gt;=0.12,"ATENÇÃO","ABAIXO"))</f>
        <v/>
      </c>
    </row>
    <row r="16" ht="18" customHeight="1">
      <c r="A16" s="8" t="inlineStr">
        <is>
          <t>Taxa de comparecimento</t>
        </is>
      </c>
      <c r="B16" s="12">
        <f>IFERROR(B8/B7,0)</f>
        <v/>
      </c>
      <c r="C16" s="10" t="inlineStr">
        <is>
          <t>&gt; 65% / 70%</t>
        </is>
      </c>
      <c r="D16" s="13">
        <f>IF(B16&gt;=0.65,"OK",IF(B16&gt;=0.5,"ATENÇÃO","ABAIXO"))</f>
        <v/>
      </c>
    </row>
    <row r="17" ht="18" customHeight="1">
      <c r="A17" s="8" t="inlineStr">
        <is>
          <t>Taxa de conversão</t>
        </is>
      </c>
      <c r="B17" s="12">
        <f>IFERROR(B9/B8,0)</f>
        <v/>
      </c>
      <c r="C17" s="10" t="inlineStr">
        <is>
          <t>20% a 35%</t>
        </is>
      </c>
      <c r="D17" s="13">
        <f>IF(B17&gt;=0.2,"OK",IF(B17&gt;=0.12,"ATENÇÃO","ABAIXO"))</f>
        <v/>
      </c>
    </row>
    <row r="18" ht="18" customHeight="1">
      <c r="A18" s="8" t="inlineStr">
        <is>
          <t>Ticket médio</t>
        </is>
      </c>
      <c r="B18" s="9">
        <f>IFERROR(B10/B9,0)</f>
        <v/>
      </c>
      <c r="C18" s="10" t="inlineStr">
        <is>
          <t>próximo do produto principal</t>
        </is>
      </c>
      <c r="D18" s="11" t="inlineStr">
        <is>
          <t>-</t>
        </is>
      </c>
    </row>
    <row r="19" ht="18" customHeight="1">
      <c r="A19" s="8" t="inlineStr">
        <is>
          <t>CAC (custo de aquisição)</t>
        </is>
      </c>
      <c r="B19" s="9">
        <f>IFERROR(B5/B9,0)</f>
        <v/>
      </c>
      <c r="C19" s="10" t="inlineStr">
        <is>
          <t>abaixo do limite definido</t>
        </is>
      </c>
      <c r="D19" s="11" t="inlineStr">
        <is>
          <t>-</t>
        </is>
      </c>
    </row>
    <row r="20" ht="18" customHeight="1">
      <c r="A20" s="8" t="inlineStr">
        <is>
          <t>Faturamento por reunião</t>
        </is>
      </c>
      <c r="B20" s="9">
        <f>IFERROR(B10/B8,0)</f>
        <v/>
      </c>
      <c r="C20" s="10" t="inlineStr">
        <is>
          <t>o maior possível</t>
        </is>
      </c>
      <c r="D20" s="11" t="inlineStr">
        <is>
          <t>-</t>
        </is>
      </c>
    </row>
    <row r="21" ht="18" customHeight="1">
      <c r="A21" s="8" t="inlineStr">
        <is>
          <t>ROAS</t>
        </is>
      </c>
      <c r="B21" s="14">
        <f>IFERROR(B10/B5,0)</f>
        <v/>
      </c>
      <c r="C21" s="10" t="inlineStr">
        <is>
          <t>&gt; 7 (ideal &gt; 10)</t>
        </is>
      </c>
      <c r="D21" s="13">
        <f>IF(B21&gt;=10,"OK",IF(B21&gt;=7,"ATENÇÃO","ABAIXO"))</f>
        <v/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HISTÓRICO COMERCIAL · 12 MESES  ·  USUAL DIGITAL</t>
        </is>
      </c>
    </row>
    <row r="2" ht="16" customHeight="1">
      <c r="A2" s="2" t="inlineStr">
        <is>
          <t>Preencha as 6 primeiras linhas (amarelas) por mês. As taxas e indicadores são calculados.</t>
        </is>
      </c>
    </row>
    <row r="4" ht="20" customHeight="1">
      <c r="A4" s="7" t="inlineStr">
        <is>
          <t>Métrica</t>
        </is>
      </c>
      <c r="B4" s="7" t="inlineStr">
        <is>
          <t>Jan</t>
        </is>
      </c>
      <c r="C4" s="7" t="inlineStr">
        <is>
          <t>Fev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Mai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Set</t>
        </is>
      </c>
      <c r="K4" s="7" t="inlineStr">
        <is>
          <t>Out</t>
        </is>
      </c>
      <c r="L4" s="7" t="inlineStr">
        <is>
          <t>Nov</t>
        </is>
      </c>
      <c r="M4" s="7" t="inlineStr">
        <is>
          <t>Dez</t>
        </is>
      </c>
    </row>
    <row r="5">
      <c r="A5" s="4" t="inlineStr">
        <is>
          <t>Investimento mkt (R$)</t>
        </is>
      </c>
      <c r="B5" s="5" t="n">
        <v>8000</v>
      </c>
      <c r="C5" s="5" t="n">
        <v>8000</v>
      </c>
      <c r="D5" s="5" t="n">
        <v>8000</v>
      </c>
      <c r="E5" s="5" t="n">
        <v>8000</v>
      </c>
      <c r="F5" s="5" t="n">
        <v>8000</v>
      </c>
      <c r="G5" s="5" t="n">
        <v>8000</v>
      </c>
      <c r="H5" s="5" t="n">
        <v>8000</v>
      </c>
      <c r="I5" s="5" t="n">
        <v>8000</v>
      </c>
      <c r="J5" s="5" t="n">
        <v>8000</v>
      </c>
      <c r="K5" s="5" t="n">
        <v>8000</v>
      </c>
      <c r="L5" s="5" t="n">
        <v>8000</v>
      </c>
      <c r="M5" s="5" t="n">
        <v>8000</v>
      </c>
    </row>
    <row r="6">
      <c r="A6" s="4" t="inlineStr">
        <is>
          <t>Leads</t>
        </is>
      </c>
      <c r="B6" s="15" t="n">
        <v>600</v>
      </c>
      <c r="C6" s="15" t="n">
        <v>600</v>
      </c>
      <c r="D6" s="15" t="n">
        <v>600</v>
      </c>
      <c r="E6" s="15" t="n">
        <v>600</v>
      </c>
      <c r="F6" s="15" t="n">
        <v>600</v>
      </c>
      <c r="G6" s="15" t="n">
        <v>600</v>
      </c>
      <c r="H6" s="15" t="n">
        <v>600</v>
      </c>
      <c r="I6" s="15" t="n">
        <v>600</v>
      </c>
      <c r="J6" s="15" t="n">
        <v>600</v>
      </c>
      <c r="K6" s="15" t="n">
        <v>600</v>
      </c>
      <c r="L6" s="15" t="n">
        <v>600</v>
      </c>
      <c r="M6" s="15" t="n">
        <v>600</v>
      </c>
    </row>
    <row r="7">
      <c r="A7" s="4" t="inlineStr">
        <is>
          <t>Agendamentos</t>
        </is>
      </c>
      <c r="B7" s="15" t="n">
        <v>90</v>
      </c>
      <c r="C7" s="15" t="n">
        <v>90</v>
      </c>
      <c r="D7" s="15" t="n">
        <v>90</v>
      </c>
      <c r="E7" s="15" t="n">
        <v>90</v>
      </c>
      <c r="F7" s="15" t="n">
        <v>90</v>
      </c>
      <c r="G7" s="15" t="n">
        <v>90</v>
      </c>
      <c r="H7" s="15" t="n">
        <v>90</v>
      </c>
      <c r="I7" s="15" t="n">
        <v>90</v>
      </c>
      <c r="J7" s="15" t="n">
        <v>90</v>
      </c>
      <c r="K7" s="15" t="n">
        <v>90</v>
      </c>
      <c r="L7" s="15" t="n">
        <v>90</v>
      </c>
      <c r="M7" s="15" t="n">
        <v>90</v>
      </c>
    </row>
    <row r="8">
      <c r="A8" s="4" t="inlineStr">
        <is>
          <t>Reuniões realizadas</t>
        </is>
      </c>
      <c r="B8" s="15" t="n">
        <v>63</v>
      </c>
      <c r="C8" s="15" t="n">
        <v>63</v>
      </c>
      <c r="D8" s="15" t="n">
        <v>63</v>
      </c>
      <c r="E8" s="15" t="n">
        <v>63</v>
      </c>
      <c r="F8" s="15" t="n">
        <v>63</v>
      </c>
      <c r="G8" s="15" t="n">
        <v>63</v>
      </c>
      <c r="H8" s="15" t="n">
        <v>63</v>
      </c>
      <c r="I8" s="15" t="n">
        <v>63</v>
      </c>
      <c r="J8" s="15" t="n">
        <v>63</v>
      </c>
      <c r="K8" s="15" t="n">
        <v>63</v>
      </c>
      <c r="L8" s="15" t="n">
        <v>63</v>
      </c>
      <c r="M8" s="15" t="n">
        <v>63</v>
      </c>
    </row>
    <row r="9">
      <c r="A9" s="4" t="inlineStr">
        <is>
          <t>Vendas</t>
        </is>
      </c>
      <c r="B9" s="15" t="n">
        <v>16</v>
      </c>
      <c r="C9" s="15" t="n">
        <v>16</v>
      </c>
      <c r="D9" s="15" t="n">
        <v>16</v>
      </c>
      <c r="E9" s="15" t="n">
        <v>16</v>
      </c>
      <c r="F9" s="15" t="n">
        <v>16</v>
      </c>
      <c r="G9" s="15" t="n">
        <v>16</v>
      </c>
      <c r="H9" s="15" t="n">
        <v>16</v>
      </c>
      <c r="I9" s="15" t="n">
        <v>16</v>
      </c>
      <c r="J9" s="15" t="n">
        <v>16</v>
      </c>
      <c r="K9" s="15" t="n">
        <v>16</v>
      </c>
      <c r="L9" s="15" t="n">
        <v>16</v>
      </c>
      <c r="M9" s="15" t="n">
        <v>16</v>
      </c>
    </row>
    <row r="10">
      <c r="A10" s="4" t="inlineStr">
        <is>
          <t>Faturamento (R$)</t>
        </is>
      </c>
      <c r="B10" s="5" t="n">
        <v>80000</v>
      </c>
      <c r="C10" s="5" t="n">
        <v>80000</v>
      </c>
      <c r="D10" s="5" t="n">
        <v>80000</v>
      </c>
      <c r="E10" s="5" t="n">
        <v>80000</v>
      </c>
      <c r="F10" s="5" t="n">
        <v>80000</v>
      </c>
      <c r="G10" s="5" t="n">
        <v>80000</v>
      </c>
      <c r="H10" s="5" t="n">
        <v>80000</v>
      </c>
      <c r="I10" s="5" t="n">
        <v>80000</v>
      </c>
      <c r="J10" s="5" t="n">
        <v>80000</v>
      </c>
      <c r="K10" s="5" t="n">
        <v>80000</v>
      </c>
      <c r="L10" s="5" t="n">
        <v>80000</v>
      </c>
      <c r="M10" s="5" t="n">
        <v>80000</v>
      </c>
    </row>
    <row r="11">
      <c r="A11" s="8" t="inlineStr">
        <is>
          <t>Custo por lead</t>
        </is>
      </c>
      <c r="B11" s="16">
        <f>IFERROR(B5/B6,0)</f>
        <v/>
      </c>
      <c r="C11" s="16">
        <f>IFERROR(C5/C6,0)</f>
        <v/>
      </c>
      <c r="D11" s="16">
        <f>IFERROR(D5/D6,0)</f>
        <v/>
      </c>
      <c r="E11" s="16">
        <f>IFERROR(E5/E6,0)</f>
        <v/>
      </c>
      <c r="F11" s="16">
        <f>IFERROR(F5/F6,0)</f>
        <v/>
      </c>
      <c r="G11" s="16">
        <f>IFERROR(G5/G6,0)</f>
        <v/>
      </c>
      <c r="H11" s="16">
        <f>IFERROR(H5/H6,0)</f>
        <v/>
      </c>
      <c r="I11" s="16">
        <f>IFERROR(I5/I6,0)</f>
        <v/>
      </c>
      <c r="J11" s="16">
        <f>IFERROR(J5/J6,0)</f>
        <v/>
      </c>
      <c r="K11" s="16">
        <f>IFERROR(K5/K6,0)</f>
        <v/>
      </c>
      <c r="L11" s="16">
        <f>IFERROR(L5/L6,0)</f>
        <v/>
      </c>
      <c r="M11" s="16">
        <f>IFERROR(M5/M6,0)</f>
        <v/>
      </c>
    </row>
    <row r="12">
      <c r="A12" s="8" t="inlineStr">
        <is>
          <t>Taxa de agendamento</t>
        </is>
      </c>
      <c r="B12" s="17">
        <f>IFERROR(B7/B6,0)</f>
        <v/>
      </c>
      <c r="C12" s="17">
        <f>IFERROR(C7/C6,0)</f>
        <v/>
      </c>
      <c r="D12" s="17">
        <f>IFERROR(D7/D6,0)</f>
        <v/>
      </c>
      <c r="E12" s="17">
        <f>IFERROR(E7/E6,0)</f>
        <v/>
      </c>
      <c r="F12" s="17">
        <f>IFERROR(F7/F6,0)</f>
        <v/>
      </c>
      <c r="G12" s="17">
        <f>IFERROR(G7/G6,0)</f>
        <v/>
      </c>
      <c r="H12" s="17">
        <f>IFERROR(H7/H6,0)</f>
        <v/>
      </c>
      <c r="I12" s="17">
        <f>IFERROR(I7/I6,0)</f>
        <v/>
      </c>
      <c r="J12" s="17">
        <f>IFERROR(J7/J6,0)</f>
        <v/>
      </c>
      <c r="K12" s="17">
        <f>IFERROR(K7/K6,0)</f>
        <v/>
      </c>
      <c r="L12" s="17">
        <f>IFERROR(L7/L6,0)</f>
        <v/>
      </c>
      <c r="M12" s="17">
        <f>IFERROR(M7/M6,0)</f>
        <v/>
      </c>
    </row>
    <row r="13">
      <c r="A13" s="8" t="inlineStr">
        <is>
          <t>Taxa de comparecimento</t>
        </is>
      </c>
      <c r="B13" s="17">
        <f>IFERROR(B8/B7,0)</f>
        <v/>
      </c>
      <c r="C13" s="17">
        <f>IFERROR(C8/C7,0)</f>
        <v/>
      </c>
      <c r="D13" s="17">
        <f>IFERROR(D8/D7,0)</f>
        <v/>
      </c>
      <c r="E13" s="17">
        <f>IFERROR(E8/E7,0)</f>
        <v/>
      </c>
      <c r="F13" s="17">
        <f>IFERROR(F8/F7,0)</f>
        <v/>
      </c>
      <c r="G13" s="17">
        <f>IFERROR(G8/G7,0)</f>
        <v/>
      </c>
      <c r="H13" s="17">
        <f>IFERROR(H8/H7,0)</f>
        <v/>
      </c>
      <c r="I13" s="17">
        <f>IFERROR(I8/I7,0)</f>
        <v/>
      </c>
      <c r="J13" s="17">
        <f>IFERROR(J8/J7,0)</f>
        <v/>
      </c>
      <c r="K13" s="17">
        <f>IFERROR(K8/K7,0)</f>
        <v/>
      </c>
      <c r="L13" s="17">
        <f>IFERROR(L8/L7,0)</f>
        <v/>
      </c>
      <c r="M13" s="17">
        <f>IFERROR(M8/M7,0)</f>
        <v/>
      </c>
    </row>
    <row r="14">
      <c r="A14" s="8" t="inlineStr">
        <is>
          <t>Taxa de conversão</t>
        </is>
      </c>
      <c r="B14" s="17">
        <f>IFERROR(B9/B8,0)</f>
        <v/>
      </c>
      <c r="C14" s="17">
        <f>IFERROR(C9/C8,0)</f>
        <v/>
      </c>
      <c r="D14" s="17">
        <f>IFERROR(D9/D8,0)</f>
        <v/>
      </c>
      <c r="E14" s="17">
        <f>IFERROR(E9/E8,0)</f>
        <v/>
      </c>
      <c r="F14" s="17">
        <f>IFERROR(F9/F8,0)</f>
        <v/>
      </c>
      <c r="G14" s="17">
        <f>IFERROR(G9/G8,0)</f>
        <v/>
      </c>
      <c r="H14" s="17">
        <f>IFERROR(H9/H8,0)</f>
        <v/>
      </c>
      <c r="I14" s="17">
        <f>IFERROR(I9/I8,0)</f>
        <v/>
      </c>
      <c r="J14" s="17">
        <f>IFERROR(J9/J8,0)</f>
        <v/>
      </c>
      <c r="K14" s="17">
        <f>IFERROR(K9/K8,0)</f>
        <v/>
      </c>
      <c r="L14" s="17">
        <f>IFERROR(L9/L8,0)</f>
        <v/>
      </c>
      <c r="M14" s="17">
        <f>IFERROR(M9/M8,0)</f>
        <v/>
      </c>
    </row>
    <row r="15">
      <c r="A15" s="8" t="inlineStr">
        <is>
          <t>Ticket médio</t>
        </is>
      </c>
      <c r="B15" s="16">
        <f>IFERROR(B10/B9,0)</f>
        <v/>
      </c>
      <c r="C15" s="16">
        <f>IFERROR(C10/C9,0)</f>
        <v/>
      </c>
      <c r="D15" s="16">
        <f>IFERROR(D10/D9,0)</f>
        <v/>
      </c>
      <c r="E15" s="16">
        <f>IFERROR(E10/E9,0)</f>
        <v/>
      </c>
      <c r="F15" s="16">
        <f>IFERROR(F10/F9,0)</f>
        <v/>
      </c>
      <c r="G15" s="16">
        <f>IFERROR(G10/G9,0)</f>
        <v/>
      </c>
      <c r="H15" s="16">
        <f>IFERROR(H10/H9,0)</f>
        <v/>
      </c>
      <c r="I15" s="16">
        <f>IFERROR(I10/I9,0)</f>
        <v/>
      </c>
      <c r="J15" s="16">
        <f>IFERROR(J10/J9,0)</f>
        <v/>
      </c>
      <c r="K15" s="16">
        <f>IFERROR(K10/K9,0)</f>
        <v/>
      </c>
      <c r="L15" s="16">
        <f>IFERROR(L10/L9,0)</f>
        <v/>
      </c>
      <c r="M15" s="16">
        <f>IFERROR(M10/M9,0)</f>
        <v/>
      </c>
    </row>
    <row r="16">
      <c r="A16" s="8" t="inlineStr">
        <is>
          <t>CAC</t>
        </is>
      </c>
      <c r="B16" s="16">
        <f>IFERROR(B5/B9,0)</f>
        <v/>
      </c>
      <c r="C16" s="16">
        <f>IFERROR(C5/C9,0)</f>
        <v/>
      </c>
      <c r="D16" s="16">
        <f>IFERROR(D5/D9,0)</f>
        <v/>
      </c>
      <c r="E16" s="16">
        <f>IFERROR(E5/E9,0)</f>
        <v/>
      </c>
      <c r="F16" s="16">
        <f>IFERROR(F5/F9,0)</f>
        <v/>
      </c>
      <c r="G16" s="16">
        <f>IFERROR(G5/G9,0)</f>
        <v/>
      </c>
      <c r="H16" s="16">
        <f>IFERROR(H5/H9,0)</f>
        <v/>
      </c>
      <c r="I16" s="16">
        <f>IFERROR(I5/I9,0)</f>
        <v/>
      </c>
      <c r="J16" s="16">
        <f>IFERROR(J5/J9,0)</f>
        <v/>
      </c>
      <c r="K16" s="16">
        <f>IFERROR(K5/K9,0)</f>
        <v/>
      </c>
      <c r="L16" s="16">
        <f>IFERROR(L5/L9,0)</f>
        <v/>
      </c>
      <c r="M16" s="16">
        <f>IFERROR(M5/M9,0)</f>
        <v/>
      </c>
    </row>
    <row r="17">
      <c r="A17" s="8" t="inlineStr">
        <is>
          <t>ROAS</t>
        </is>
      </c>
      <c r="B17" s="18">
        <f>IFERROR(B10/B5,0)</f>
        <v/>
      </c>
      <c r="C17" s="18">
        <f>IFERROR(C10/C5,0)</f>
        <v/>
      </c>
      <c r="D17" s="18">
        <f>IFERROR(D10/D5,0)</f>
        <v/>
      </c>
      <c r="E17" s="18">
        <f>IFERROR(E10/E5,0)</f>
        <v/>
      </c>
      <c r="F17" s="18">
        <f>IFERROR(F10/F5,0)</f>
        <v/>
      </c>
      <c r="G17" s="18">
        <f>IFERROR(G10/G5,0)</f>
        <v/>
      </c>
      <c r="H17" s="18">
        <f>IFERROR(H10/H5,0)</f>
        <v/>
      </c>
      <c r="I17" s="18">
        <f>IFERROR(I10/I5,0)</f>
        <v/>
      </c>
      <c r="J17" s="18">
        <f>IFERROR(J10/J5,0)</f>
        <v/>
      </c>
      <c r="K17" s="18">
        <f>IFERROR(K10/K5,0)</f>
        <v/>
      </c>
      <c r="L17" s="18">
        <f>IFERROR(L10/L5,0)</f>
        <v/>
      </c>
      <c r="M17" s="18">
        <f>IFERROR(M10/M5,0)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2026-06-27T21:33:50Z</dcterms:created>
  <dcterms:modified xmlns:dcterms="http://purl.org/dc/terms/" xmlns:xsi="http://www.w3.org/2001/XMLSchema-instance" xsi:type="dcterms:W3CDTF">2026-06-27T21:33:50Z</dcterms:modified>
</cp:coreProperties>
</file>