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por aqui" sheetId="1" state="visible" r:id="rId1"/>
    <sheet xmlns:r="http://schemas.openxmlformats.org/officeDocument/2006/relationships" name="Central do Comercial" sheetId="2" state="visible" r:id="rId2"/>
    <sheet xmlns:r="http://schemas.openxmlformats.org/officeDocument/2006/relationships" name="Painel Closers" sheetId="3" state="visible" r:id="rId3"/>
    <sheet xmlns:r="http://schemas.openxmlformats.org/officeDocument/2006/relationships" name="Análise Semanal" sheetId="4" state="visible" r:id="rId4"/>
    <sheet xmlns:r="http://schemas.openxmlformats.org/officeDocument/2006/relationships" name="Equipe" sheetId="5" state="visible" r:id="rId5"/>
    <sheet xmlns:r="http://schemas.openxmlformats.org/officeDocument/2006/relationships" name="Diá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E6E74"/>
      <sz val="9"/>
    </font>
    <font>
      <name val="Arial"/>
      <b val="1"/>
      <color rgb="00E8430F"/>
      <sz val="10"/>
    </font>
    <font>
      <name val="Arial"/>
      <b val="1"/>
      <color rgb="00E8430F"/>
      <sz val="11"/>
    </font>
    <font>
      <name val="Arial"/>
      <color rgb="002E2E33"/>
      <sz val="10"/>
    </font>
    <font>
      <name val="Arial"/>
      <b val="1"/>
      <color rgb="002E2E33"/>
      <sz val="10"/>
    </font>
    <font>
      <name val="Arial"/>
      <color rgb="006E6E74"/>
      <sz val="8"/>
    </font>
    <font>
      <name val="Arial"/>
      <b val="1"/>
      <color rgb="00FFFFFF"/>
      <sz val="9"/>
    </font>
    <font>
      <name val="Arial"/>
      <color rgb="006E6E74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b val="1"/>
      <color rgb="006E6E74"/>
      <sz val="10"/>
    </font>
    <font>
      <name val="Arial"/>
      <b val="1"/>
      <color rgb="002E2E33"/>
      <sz val="7.5"/>
    </font>
    <font>
      <name val="Arial"/>
      <b val="1"/>
      <color rgb="002E2E33"/>
      <sz val="9.5"/>
    </font>
    <font>
      <name val="Arial"/>
      <b val="1"/>
      <color rgb="00FFFFFF"/>
      <sz val="9.5"/>
    </font>
    <font>
      <name val="Arial"/>
      <color rgb="006E6E74"/>
      <sz val="8.5"/>
    </font>
    <font>
      <name val="Arial"/>
      <b val="1"/>
      <color rgb="002E2E33"/>
      <sz val="15"/>
    </font>
    <font>
      <name val="Arial"/>
      <b val="1"/>
      <color rgb="00E8430F"/>
      <sz val="15"/>
    </font>
  </fonts>
  <fills count="9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FFF2CC"/>
      </patternFill>
    </fill>
    <fill>
      <patternFill patternType="solid">
        <fgColor rgb="002E2E33"/>
      </patternFill>
    </fill>
    <fill>
      <patternFill patternType="solid">
        <fgColor rgb="002A2A2C"/>
      </patternFill>
    </fill>
    <fill>
      <patternFill patternType="solid">
        <fgColor rgb="00FFFAF7"/>
      </patternFill>
    </fill>
    <fill>
      <patternFill patternType="solid">
        <fgColor rgb="00FFF1EA"/>
      </patternFill>
    </fill>
  </fills>
  <borders count="8">
    <border>
      <left/>
      <right/>
      <top/>
      <bottom/>
      <diagonal/>
    </border>
    <border>
      <left style="thin">
        <color rgb="00ECEBE8"/>
      </left>
      <right style="thin">
        <color rgb="00ECEBE8"/>
      </right>
      <top style="thin">
        <color rgb="00ECEBE8"/>
      </top>
      <bottom style="thin">
        <color rgb="00ECEBE8"/>
      </bottom>
    </border>
    <border>
      <left style="thin">
        <color rgb="00ECEBE8"/>
      </left>
      <right/>
      <top/>
      <bottom/>
      <diagonal/>
    </border>
    <border>
      <left style="thin">
        <color rgb="00ECEBE8"/>
      </left>
      <right style="thin">
        <color rgb="00ECEBE8"/>
      </right>
      <top/>
      <bottom/>
      <diagonal/>
    </border>
    <border>
      <left style="thin">
        <color rgb="00ECEBE8"/>
      </left>
      <right style="thin">
        <color rgb="00ECEBE8"/>
      </right>
      <top/>
      <bottom style="thin">
        <color rgb="00ECEBE8"/>
      </bottom>
      <diagonal/>
    </border>
    <border>
      <left/>
      <right/>
      <top style="thin">
        <color rgb="00ECEBE8"/>
      </top>
      <bottom/>
      <diagonal/>
    </border>
    <border>
      <left/>
      <right style="thin">
        <color rgb="00ECEBE8"/>
      </right>
      <top style="thin">
        <color rgb="00ECEBE8"/>
      </top>
      <bottom/>
      <diagonal/>
    </border>
    <border>
      <left/>
      <right style="thin">
        <color rgb="00ECEBE8"/>
      </right>
      <top style="thin">
        <color rgb="00ECEBE8"/>
      </top>
      <bottom style="thin">
        <color rgb="00ECEBE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 indent="1"/>
    </xf>
    <xf numFmtId="1" fontId="17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1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17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1" fontId="4" fillId="8" borderId="1" applyAlignment="1" pivotButton="0" quotePrefix="0" xfId="0">
      <alignment horizontal="center" vertical="center"/>
    </xf>
    <xf numFmtId="9" fontId="10" fillId="4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1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6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B7E1CD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Funil do time: agendadas → vendas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'Central do Comercial'!$L$5:$L$8</f>
            </numRef>
          </cat>
          <val>
            <numRef>
              <f>'Central do Comercial'!$M$5:$M$8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Vendas: na call × follow-up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'Central do Comercial'!$L$10:$L$11</f>
            </numRef>
          </cat>
          <val>
            <numRef>
              <f>'Central do Comercial'!$M$10:$M$11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vendedor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'Central do Comercial'!$L$13:$L$15</f>
            </numRef>
          </cat>
          <val>
            <numRef>
              <f>'Central do Comercial'!$M$13:$M$15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32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9</row>
      <rowOff>0</rowOff>
    </from>
    <ext cx="32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Controle de Reuniões · Closers Usual Digital</t>
        </is>
      </c>
    </row>
    <row r="2" ht="16" customHeight="1">
      <c r="A2" s="2" t="inlineStr">
        <is>
          <t>Análise do funil de reuniões dos vendedores: no-show, propostas e conversão. Uma cópia por mês.</t>
        </is>
      </c>
    </row>
    <row r="3" ht="30" customHeight="1"/>
    <row r="4" ht="20" customHeight="1">
      <c r="A4" s="3" t="inlineStr">
        <is>
          <t>COMO USAR (30 SEGUNDOS POR DIA)</t>
        </is>
      </c>
    </row>
    <row r="6" ht="30" customHeight="1">
      <c r="A6" s="4" t="inlineStr">
        <is>
          <t>1.</t>
        </is>
      </c>
      <c r="B6" s="5" t="inlineStr">
        <is>
          <t>No Google Sheets: Arquivo &gt; Fazer uma cópia. Duplique a cada mês.</t>
        </is>
      </c>
    </row>
    <row r="7" ht="30" customHeight="1">
      <c r="A7" s="4" t="inlineStr">
        <is>
          <t>2.</t>
        </is>
      </c>
      <c r="B7" s="5" t="inlineStr">
        <is>
          <t>Aba DIÁRIO: no fim do dia, cada vendedor preenche SÓ 6 números na linha do dia: agendadas, realizadas, no-show, propostas, vendas na call e vendas no follow-up. Sem nome de cliente, sem texto.</t>
        </is>
      </c>
    </row>
    <row r="8" ht="30" customHeight="1">
      <c r="A8" s="4" t="inlineStr">
        <is>
          <t>3.</t>
        </is>
      </c>
      <c r="B8" s="5" t="inlineStr">
        <is>
          <t>A semana calcula sozinha. Painéis, análise semanal e central do comercial atualizam na hora.</t>
        </is>
      </c>
    </row>
    <row r="9" ht="30" customHeight="1">
      <c r="A9" s="4" t="inlineStr">
        <is>
          <t>4.</t>
        </is>
      </c>
      <c r="B9" s="5" t="inlineStr">
        <is>
          <t>PAINEL CLOSERS: cada vendedor comparado com o padrão. Célula VERMELHA = é ali que se treina na semana.</t>
        </is>
      </c>
    </row>
    <row r="10" ht="30" customHeight="1">
      <c r="A10" s="4" t="inlineStr">
        <is>
          <t>5.</t>
        </is>
      </c>
      <c r="B10" s="5" t="inlineStr">
        <is>
          <t>CENTRAL DO COMERCIAL: o funil do time inteiro, taxas do mês e gráficos.</t>
        </is>
      </c>
    </row>
    <row r="11" ht="30" customHeight="1">
      <c r="A11" s="4" t="inlineStr">
        <is>
          <t>6.</t>
        </is>
      </c>
      <c r="B11" s="5" t="inlineStr">
        <is>
          <t>Os padrões (metas de taxa) são editáveis em amarelo no Painel Closers.</t>
        </is>
      </c>
    </row>
    <row r="13" ht="20" customHeight="1">
      <c r="A13" s="3" t="inlineStr">
        <is>
          <t>DEFINIÇÕES</t>
        </is>
      </c>
    </row>
    <row r="15" ht="24" customHeight="1">
      <c r="A15" s="6" t="inlineStr">
        <is>
          <t>Agendadas</t>
        </is>
      </c>
      <c r="C15" s="5" t="inlineStr">
        <is>
          <t>Reuniões marcadas PARA aquele dia (na agenda do dia).</t>
        </is>
      </c>
    </row>
    <row r="16" ht="24" customHeight="1">
      <c r="A16" s="6" t="inlineStr">
        <is>
          <t>Realizadas</t>
        </is>
      </c>
      <c r="C16" s="5" t="inlineStr">
        <is>
          <t>Quantas de fato aconteceram.</t>
        </is>
      </c>
    </row>
    <row r="17" ht="24" customHeight="1">
      <c r="A17" s="6" t="inlineStr">
        <is>
          <t>No-show</t>
        </is>
      </c>
      <c r="C17" s="5" t="inlineStr">
        <is>
          <t>Cliente não apareceu (realizadas + no-show deve bater com agendadas; remarcada não conta).</t>
        </is>
      </c>
    </row>
    <row r="18" ht="24" customHeight="1">
      <c r="A18" s="6" t="inlineStr">
        <is>
          <t>Propostas</t>
        </is>
      </c>
      <c r="C18" s="5" t="inlineStr">
        <is>
          <t>Reuniões em que uma proposta foi apresentada.</t>
        </is>
      </c>
    </row>
    <row r="19" ht="24" customHeight="1">
      <c r="A19" s="6" t="inlineStr">
        <is>
          <t>Venda na call</t>
        </is>
      </c>
      <c r="C19" s="5" t="inlineStr">
        <is>
          <t>Fechou na própria reunião.</t>
        </is>
      </c>
    </row>
    <row r="20" ht="24" customHeight="1">
      <c r="A20" s="6" t="inlineStr">
        <is>
          <t>Venda no follow-up</t>
        </is>
      </c>
      <c r="C20" s="5" t="inlineStr">
        <is>
          <t>Cliente de reunião anterior que fechou depois (conta no dia em que fechou).</t>
        </is>
      </c>
    </row>
    <row r="22">
      <c r="A22" s="7" t="inlineStr">
        <is>
          <t>Usual Digital · Controle interno do comercial</t>
        </is>
      </c>
    </row>
  </sheetData>
  <mergeCells count="23">
    <mergeCell ref="C16:H16"/>
    <mergeCell ref="A15:B15"/>
    <mergeCell ref="B9:H9"/>
    <mergeCell ref="B6:H6"/>
    <mergeCell ref="A1:H1"/>
    <mergeCell ref="A16:B16"/>
    <mergeCell ref="B7:H7"/>
    <mergeCell ref="C17:H17"/>
    <mergeCell ref="A18:B18"/>
    <mergeCell ref="C19:H19"/>
    <mergeCell ref="A2:H2"/>
    <mergeCell ref="C18:H18"/>
    <mergeCell ref="B11:H11"/>
    <mergeCell ref="A17:B17"/>
    <mergeCell ref="A22:H22"/>
    <mergeCell ref="C15:H15"/>
    <mergeCell ref="A4:H4"/>
    <mergeCell ref="B8:H8"/>
    <mergeCell ref="A20:B20"/>
    <mergeCell ref="A19:B19"/>
    <mergeCell ref="A13:H13"/>
    <mergeCell ref="B10:H10"/>
    <mergeCell ref="C20:H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3" customWidth="1" min="12" max="12"/>
    <col width="10" customWidth="1" min="13" max="13"/>
  </cols>
  <sheetData>
    <row r="1" ht="30" customHeight="1">
      <c r="A1" s="1" t="inlineStr">
        <is>
          <t>Central do Comercial · todos juntos</t>
        </is>
      </c>
    </row>
    <row r="2" ht="16" customHeight="1">
      <c r="A2" s="2" t="inlineStr">
        <is>
          <t>O funil de reuniões do time inteiro no mês, com taxas, padrões e gráficos.</t>
        </is>
      </c>
    </row>
    <row r="4" ht="20" customHeight="1">
      <c r="A4" s="3" t="inlineStr">
        <is>
          <t>VOLUME DO MÊS (TIME)</t>
        </is>
      </c>
      <c r="L4" s="8" t="inlineStr">
        <is>
          <t>apoio</t>
        </is>
      </c>
    </row>
    <row r="5" ht="26" customHeight="1">
      <c r="A5" s="9">
        <f>Diário!$C$37+Diário!$I$37+Diário!$O$37</f>
        <v/>
      </c>
      <c r="B5" s="10" t="n"/>
      <c r="C5" s="11">
        <f>Diário!$D$37+Diário!$J$37+Diário!$P$37</f>
        <v/>
      </c>
      <c r="D5" s="10" t="n"/>
      <c r="E5" s="9">
        <f>Diário!$E$37+Diário!$K$37+Diário!$Q$37</f>
        <v/>
      </c>
      <c r="F5" s="10" t="n"/>
      <c r="G5" s="9">
        <f>Diário!$F$37+Diário!$L$37+Diário!$R$37</f>
        <v/>
      </c>
      <c r="H5" s="10" t="n"/>
      <c r="I5" s="11">
        <f>(Diário!$G$37+Diário!$M$37+Diário!$S$37)+(Diário!$H$37+Diário!$N$37+Diário!$T$37)</f>
        <v/>
      </c>
      <c r="J5" s="10" t="n"/>
      <c r="L5" t="inlineStr">
        <is>
          <t>Agendadas</t>
        </is>
      </c>
      <c r="M5">
        <f>Diário!$C$37+Diário!$I$37+Diário!$O$37</f>
        <v/>
      </c>
    </row>
    <row r="6" ht="16" customHeight="1">
      <c r="A6" s="12" t="inlineStr">
        <is>
          <t>Reuniões agendadas</t>
        </is>
      </c>
      <c r="B6" s="10" t="n"/>
      <c r="C6" s="12" t="inlineStr">
        <is>
          <t>Reuniões realizadas</t>
        </is>
      </c>
      <c r="D6" s="10" t="n"/>
      <c r="E6" s="12" t="inlineStr">
        <is>
          <t>No-shows</t>
        </is>
      </c>
      <c r="F6" s="10" t="n"/>
      <c r="G6" s="12" t="inlineStr">
        <is>
          <t>Propostas apresentadas</t>
        </is>
      </c>
      <c r="H6" s="10" t="n"/>
      <c r="I6" s="12" t="inlineStr">
        <is>
          <t>VENDAS TOTAIS</t>
        </is>
      </c>
      <c r="J6" s="10" t="n"/>
      <c r="L6" t="inlineStr">
        <is>
          <t>Realizadas</t>
        </is>
      </c>
      <c r="M6">
        <f>Diário!$D$37+Diário!$J$37+Diário!$P$37</f>
        <v/>
      </c>
    </row>
    <row r="7" ht="26" customHeight="1">
      <c r="A7" s="13">
        <f>IFERROR((Diário!$D$37+Diário!$J$37+Diário!$P$37)/MAX(Diário!$C$37+Diário!$I$37+Diário!$O$37,1),0)</f>
        <v/>
      </c>
      <c r="B7" s="10" t="n"/>
      <c r="C7" s="13">
        <f>IFERROR((Diário!$E$37+Diário!$K$37+Diário!$Q$37)/MAX(Diário!$C$37+Diário!$I$37+Diário!$O$37,1),0)</f>
        <v/>
      </c>
      <c r="D7" s="10" t="n"/>
      <c r="E7" s="14">
        <f>IFERROR(((Diário!$G$37+Diário!$M$37+Diário!$S$37)+(Diário!$H$37+Diário!$N$37+Diário!$T$37))/MAX(Diário!$D$37+Diário!$J$37+Diário!$P$37,1),0)</f>
        <v/>
      </c>
      <c r="F7" s="10" t="n"/>
      <c r="G7" s="14">
        <f>IFERROR(((Diário!$G$37+Diário!$M$37+Diário!$S$37)+(Diário!$H$37+Diário!$N$37+Diário!$T$37))/MAX(Diário!$F$37+Diário!$L$37+Diário!$R$37,1),0)</f>
        <v/>
      </c>
      <c r="H7" s="10" t="n"/>
      <c r="I7" s="15">
        <f>IFERROR(ROUND((Diário!$D$37+Diário!$J$37+Diário!$P$37)/MAX(SUMPRODUCT(--((Diário!$C$6:$C$36+Diário!$I$6:$I$36+Diário!$O$6:$O$36)&gt;0)),1),1),0)</f>
        <v/>
      </c>
      <c r="J7" s="10" t="n"/>
      <c r="L7" t="inlineStr">
        <is>
          <t>Propostas</t>
        </is>
      </c>
      <c r="M7">
        <f>Diário!$F$37+Diário!$L$37+Diário!$R$37</f>
        <v/>
      </c>
    </row>
    <row r="8" ht="16" customHeight="1">
      <c r="A8" s="12" t="inlineStr">
        <is>
          <t>Show rate</t>
        </is>
      </c>
      <c r="B8" s="10" t="n"/>
      <c r="C8" s="12" t="inlineStr">
        <is>
          <t>Taxa de no-show</t>
        </is>
      </c>
      <c r="D8" s="10" t="n"/>
      <c r="E8" s="12" t="inlineStr">
        <is>
          <t>Conv. reunião → venda</t>
        </is>
      </c>
      <c r="F8" s="10" t="n"/>
      <c r="G8" s="12" t="inlineStr">
        <is>
          <t>Conv. proposta → venda</t>
        </is>
      </c>
      <c r="H8" s="10" t="n"/>
      <c r="I8" s="12" t="inlineStr">
        <is>
          <t>Média reuniões/dia ativo</t>
        </is>
      </c>
      <c r="J8" s="10" t="n"/>
      <c r="L8" t="inlineStr">
        <is>
          <t>Vendas</t>
        </is>
      </c>
      <c r="M8">
        <f>(Diário!$G$37+Diário!$M$37+Diário!$S$37)+(Diário!$H$37+Diário!$N$37+Diário!$T$37)</f>
        <v/>
      </c>
    </row>
    <row r="9" ht="20" customHeight="1">
      <c r="A9" s="3" t="inlineStr">
        <is>
          <t>GRÁFICOS</t>
        </is>
      </c>
    </row>
    <row r="10">
      <c r="L10" t="inlineStr">
        <is>
          <t>Na call</t>
        </is>
      </c>
      <c r="M10">
        <f>Diário!$G$37+Diário!$M$37+Diário!$S$37</f>
        <v/>
      </c>
    </row>
    <row r="11">
      <c r="L11" t="inlineStr">
        <is>
          <t>No follow-up</t>
        </is>
      </c>
      <c r="M11">
        <f>Diário!$H$37+Diário!$N$37+Diário!$T$37</f>
        <v/>
      </c>
    </row>
    <row r="13">
      <c r="L13">
        <f>Equipe!$B$6</f>
        <v/>
      </c>
      <c r="M13">
        <f>Diário!$G$37+Diário!$H$37</f>
        <v/>
      </c>
    </row>
    <row r="14">
      <c r="L14">
        <f>Equipe!$B$7</f>
        <v/>
      </c>
      <c r="M14">
        <f>Diário!$M$37+Diário!$N$37</f>
        <v/>
      </c>
    </row>
    <row r="15">
      <c r="L15">
        <f>Equipe!$B$8</f>
        <v/>
      </c>
      <c r="M15">
        <f>Diário!$S$37+Diário!$T$37</f>
        <v/>
      </c>
    </row>
  </sheetData>
  <mergeCells count="24">
    <mergeCell ref="C6:D6"/>
    <mergeCell ref="I6:J6"/>
    <mergeCell ref="C5:D5"/>
    <mergeCell ref="E5:F5"/>
    <mergeCell ref="A4:J4"/>
    <mergeCell ref="G8:H8"/>
    <mergeCell ref="E8:F8"/>
    <mergeCell ref="A6:B6"/>
    <mergeCell ref="A7:B7"/>
    <mergeCell ref="G7:H7"/>
    <mergeCell ref="I7:J7"/>
    <mergeCell ref="A9:J9"/>
    <mergeCell ref="G6:H6"/>
    <mergeCell ref="A1:J1"/>
    <mergeCell ref="E6:F6"/>
    <mergeCell ref="A5:B5"/>
    <mergeCell ref="G5:H5"/>
    <mergeCell ref="I5:J5"/>
    <mergeCell ref="I8:J8"/>
    <mergeCell ref="A8:B8"/>
    <mergeCell ref="C8:D8"/>
    <mergeCell ref="C7:D7"/>
    <mergeCell ref="E7:F7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13" customWidth="1" min="4" max="4"/>
    <col width="13" customWidth="1" min="5" max="5"/>
  </cols>
  <sheetData>
    <row r="1" ht="30" customHeight="1">
      <c r="A1" s="1" t="inlineStr">
        <is>
          <t>Painel · Closers (mês)</t>
        </is>
      </c>
    </row>
    <row r="2" ht="16" customHeight="1">
      <c r="A2" s="2" t="inlineStr">
        <is>
          <t>Cada vendedor comparado com o padrão (amarelo, editável). Célula vermelha = ponto de treino da semana.</t>
        </is>
      </c>
    </row>
    <row r="4" ht="20" customHeight="1">
      <c r="A4" s="3" t="inlineStr">
        <is>
          <t>VOLUME DO MÊS</t>
        </is>
      </c>
    </row>
    <row r="5">
      <c r="A5" s="16" t="inlineStr">
        <is>
          <t>Indicador</t>
        </is>
      </c>
      <c r="B5" s="17" t="inlineStr">
        <is>
          <t>Padrão</t>
        </is>
      </c>
      <c r="C5" s="17">
        <f>Equipe!$B$6</f>
        <v/>
      </c>
      <c r="D5" s="17">
        <f>Equipe!$B$7</f>
        <v/>
      </c>
      <c r="E5" s="17">
        <f>Equipe!$B$8</f>
        <v/>
      </c>
    </row>
    <row r="6" ht="18" customHeight="1">
      <c r="A6" s="18" t="inlineStr">
        <is>
          <t>Reuniões agendadas</t>
        </is>
      </c>
      <c r="B6" s="19" t="inlineStr">
        <is>
          <t>—</t>
        </is>
      </c>
      <c r="C6" s="20">
        <f>Diário!$C$37</f>
        <v/>
      </c>
      <c r="D6" s="20">
        <f>Diário!$I$37</f>
        <v/>
      </c>
      <c r="E6" s="20">
        <f>Diário!$O$37</f>
        <v/>
      </c>
    </row>
    <row r="7" ht="18" customHeight="1">
      <c r="A7" s="18" t="inlineStr">
        <is>
          <t>Reuniões realizadas</t>
        </is>
      </c>
      <c r="B7" s="19" t="inlineStr">
        <is>
          <t>—</t>
        </is>
      </c>
      <c r="C7" s="20">
        <f>Diário!$D$37</f>
        <v/>
      </c>
      <c r="D7" s="20">
        <f>Diário!$J$37</f>
        <v/>
      </c>
      <c r="E7" s="20">
        <f>Diário!$P$37</f>
        <v/>
      </c>
    </row>
    <row r="8" ht="18" customHeight="1">
      <c r="A8" s="18" t="inlineStr">
        <is>
          <t>No-shows</t>
        </is>
      </c>
      <c r="B8" s="19" t="inlineStr">
        <is>
          <t>—</t>
        </is>
      </c>
      <c r="C8" s="20">
        <f>Diário!$E$37</f>
        <v/>
      </c>
      <c r="D8" s="20">
        <f>Diário!$K$37</f>
        <v/>
      </c>
      <c r="E8" s="20">
        <f>Diário!$Q$37</f>
        <v/>
      </c>
    </row>
    <row r="9" ht="18" customHeight="1">
      <c r="A9" s="18" t="inlineStr">
        <is>
          <t>Propostas apresentadas</t>
        </is>
      </c>
      <c r="B9" s="19" t="inlineStr">
        <is>
          <t>—</t>
        </is>
      </c>
      <c r="C9" s="20">
        <f>Diário!$F$37</f>
        <v/>
      </c>
      <c r="D9" s="20">
        <f>Diário!$L$37</f>
        <v/>
      </c>
      <c r="E9" s="20">
        <f>Diário!$R$37</f>
        <v/>
      </c>
    </row>
    <row r="10" ht="18" customHeight="1">
      <c r="A10" s="18" t="inlineStr">
        <is>
          <t>Vendas na call</t>
        </is>
      </c>
      <c r="B10" s="19" t="inlineStr">
        <is>
          <t>—</t>
        </is>
      </c>
      <c r="C10" s="20">
        <f>Diário!$G$37</f>
        <v/>
      </c>
      <c r="D10" s="20">
        <f>Diário!$M$37</f>
        <v/>
      </c>
      <c r="E10" s="20">
        <f>Diário!$S$37</f>
        <v/>
      </c>
    </row>
    <row r="11" ht="18" customHeight="1">
      <c r="A11" s="18" t="inlineStr">
        <is>
          <t>Vendas no follow-up</t>
        </is>
      </c>
      <c r="B11" s="19" t="inlineStr">
        <is>
          <t>—</t>
        </is>
      </c>
      <c r="C11" s="20">
        <f>Diário!$H$37</f>
        <v/>
      </c>
      <c r="D11" s="20">
        <f>Diário!$N$37</f>
        <v/>
      </c>
      <c r="E11" s="20">
        <f>Diário!$T$37</f>
        <v/>
      </c>
    </row>
    <row r="12" ht="20" customHeight="1">
      <c r="A12" s="21" t="inlineStr">
        <is>
          <t>VENDAS TOTAIS</t>
        </is>
      </c>
      <c r="B12" s="22" t="n"/>
      <c r="C12" s="23">
        <f>Diário!$G$37+Diário!$H$37</f>
        <v/>
      </c>
      <c r="D12" s="23">
        <f>Diário!$M$37+Diário!$N$37</f>
        <v/>
      </c>
      <c r="E12" s="23">
        <f>Diário!$S$37+Diário!$T$37</f>
        <v/>
      </c>
    </row>
    <row r="14" ht="20" customHeight="1">
      <c r="A14" s="3" t="inlineStr">
        <is>
          <t>TAXAS DO FUNIL (VERDE = NO PADRÃO · VERMELHO = TREINAR)</t>
        </is>
      </c>
    </row>
    <row r="15">
      <c r="A15" s="16" t="inlineStr">
        <is>
          <t>Taxa</t>
        </is>
      </c>
      <c r="B15" s="17" t="inlineStr">
        <is>
          <t>Padrão</t>
        </is>
      </c>
      <c r="C15" s="17">
        <f>Equipe!$B$6</f>
        <v/>
      </c>
      <c r="D15" s="17">
        <f>Equipe!$B$7</f>
        <v/>
      </c>
      <c r="E15" s="17">
        <f>Equipe!$B$8</f>
        <v/>
      </c>
    </row>
    <row r="16" ht="20" customHeight="1">
      <c r="A16" s="18" t="inlineStr">
        <is>
          <t>Show rate (realizadas ÷ agendadas)</t>
        </is>
      </c>
      <c r="B16" s="24" t="n">
        <v>0.7</v>
      </c>
      <c r="C16" s="25">
        <f>IFERROR(Diário!$D$37/MAX(Diário!$C$37,1),0)</f>
        <v/>
      </c>
      <c r="D16" s="25">
        <f>IFERROR(Diário!$J$37/MAX(Diário!$I$37,1),0)</f>
        <v/>
      </c>
      <c r="E16" s="25">
        <f>IFERROR(Diário!$P$37/MAX(Diário!$O$37,1),0)</f>
        <v/>
      </c>
    </row>
    <row r="17" ht="20" customHeight="1">
      <c r="A17" s="18" t="inlineStr">
        <is>
          <t>Taxa de no-show</t>
        </is>
      </c>
      <c r="B17" s="24" t="n">
        <v>0.3</v>
      </c>
      <c r="C17" s="25">
        <f>IFERROR(Diário!$E$37/MAX(Diário!$C$37,1),0)</f>
        <v/>
      </c>
      <c r="D17" s="25">
        <f>IFERROR(Diário!$K$37/MAX(Diário!$I$37,1),0)</f>
        <v/>
      </c>
      <c r="E17" s="25">
        <f>IFERROR(Diário!$Q$37/MAX(Diário!$O$37,1),0)</f>
        <v/>
      </c>
    </row>
    <row r="18" ht="20" customHeight="1">
      <c r="A18" s="18" t="inlineStr">
        <is>
          <t>Propostas ÷ reuniões realizadas</t>
        </is>
      </c>
      <c r="B18" s="24" t="n">
        <v>0.6</v>
      </c>
      <c r="C18" s="25">
        <f>IFERROR(Diário!$F$37/MAX(Diário!$D$37,1),0)</f>
        <v/>
      </c>
      <c r="D18" s="25">
        <f>IFERROR(Diário!$L$37/MAX(Diário!$J$37,1),0)</f>
        <v/>
      </c>
      <c r="E18" s="25">
        <f>IFERROR(Diário!$R$37/MAX(Diário!$P$37,1),0)</f>
        <v/>
      </c>
    </row>
    <row r="19" ht="20" customHeight="1">
      <c r="A19" s="18" t="inlineStr">
        <is>
          <t>Conversão proposta → venda (FOCO)</t>
        </is>
      </c>
      <c r="B19" s="24" t="n">
        <v>0.3</v>
      </c>
      <c r="C19" s="25">
        <f>IFERROR((Diário!$G$37+Diário!$H$37)/MAX(Diário!$F$37,1),0)</f>
        <v/>
      </c>
      <c r="D19" s="25">
        <f>IFERROR((Diário!$M$37+Diário!$N$37)/MAX(Diário!$L$37,1),0)</f>
        <v/>
      </c>
      <c r="E19" s="25">
        <f>IFERROR((Diário!$S$37+Diário!$T$37)/MAX(Diário!$R$37,1),0)</f>
        <v/>
      </c>
    </row>
    <row r="20" ht="20" customHeight="1">
      <c r="A20" s="18" t="inlineStr">
        <is>
          <t>Conversão reunião → venda</t>
        </is>
      </c>
      <c r="B20" s="24" t="n">
        <v>0.2</v>
      </c>
      <c r="C20" s="25">
        <f>IFERROR((Diário!$G$37+Diário!$H$37)/MAX(Diário!$D$37,1),0)</f>
        <v/>
      </c>
      <c r="D20" s="25">
        <f>IFERROR((Diário!$M$37+Diário!$N$37)/MAX(Diário!$J$37,1),0)</f>
        <v/>
      </c>
      <c r="E20" s="25">
        <f>IFERROR((Diário!$S$37+Diário!$T$37)/MAX(Diário!$P$37,1),0)</f>
        <v/>
      </c>
    </row>
    <row r="21" ht="20" customHeight="1">
      <c r="A21" s="18" t="inlineStr">
        <is>
          <t>% das vendas vindas do follow-up</t>
        </is>
      </c>
      <c r="B21" s="24" t="n">
        <v>0.3</v>
      </c>
      <c r="C21" s="25">
        <f>IFERROR(Diário!$H$37/MAX(Diário!$G$37+Diário!$H$37,1),0)</f>
        <v/>
      </c>
      <c r="D21" s="25">
        <f>IFERROR(Diário!$N$37/MAX(Diário!$M$37+Diário!$N$37,1),0)</f>
        <v/>
      </c>
      <c r="E21" s="25">
        <f>IFERROR(Diário!$T$37/MAX(Diário!$S$37+Diário!$T$37,1),0)</f>
        <v/>
      </c>
    </row>
    <row r="23" ht="20" customHeight="1">
      <c r="A23" s="3" t="inlineStr">
        <is>
          <t>META DE VENDAS DO MÊS</t>
        </is>
      </c>
    </row>
    <row r="24">
      <c r="A24" s="18" t="inlineStr">
        <is>
          <t>Meta de vendas</t>
        </is>
      </c>
      <c r="B24" s="19" t="inlineStr">
        <is>
          <t>—</t>
        </is>
      </c>
      <c r="C24" s="20">
        <f>Equipe!$D$6</f>
        <v/>
      </c>
      <c r="D24" s="20">
        <f>Equipe!$D$7</f>
        <v/>
      </c>
      <c r="E24" s="20">
        <f>Equipe!$D$8</f>
        <v/>
      </c>
    </row>
    <row r="25" ht="20" customHeight="1">
      <c r="A25" s="18" t="inlineStr">
        <is>
          <t>% da meta</t>
        </is>
      </c>
      <c r="B25" s="19" t="inlineStr">
        <is>
          <t>—</t>
        </is>
      </c>
      <c r="C25" s="26">
        <f>IFERROR((Diário!$G$37+Diário!$H$37)/MAX(Equipe!$D$6,1),0)</f>
        <v/>
      </c>
      <c r="D25" s="26">
        <f>IFERROR((Diário!$M$37+Diário!$N$37)/MAX(Equipe!$D$7,1),0)</f>
        <v/>
      </c>
      <c r="E25" s="26">
        <f>IFERROR((Diário!$S$37+Diário!$T$37)/MAX(Equipe!$D$8,1),0)</f>
        <v/>
      </c>
    </row>
  </sheetData>
  <mergeCells count="5">
    <mergeCell ref="A4:E4"/>
    <mergeCell ref="A2:E2"/>
    <mergeCell ref="A1:E1"/>
    <mergeCell ref="A23:E23"/>
    <mergeCell ref="A14:E14"/>
  </mergeCells>
  <conditionalFormatting sqref="C16">
    <cfRule type="expression" priority="1" dxfId="0">
      <formula>AND(C16&gt;=$B16,Diário!$C$37&gt;0)</formula>
    </cfRule>
    <cfRule type="expression" priority="2" dxfId="1">
      <formula>AND(NOT(C16&gt;=$B16),Diário!$C$37&gt;0)</formula>
    </cfRule>
  </conditionalFormatting>
  <conditionalFormatting sqref="D16">
    <cfRule type="expression" priority="3" dxfId="0">
      <formula>AND(D16&gt;=$B16,Diário!$I$37&gt;0)</formula>
    </cfRule>
    <cfRule type="expression" priority="4" dxfId="1">
      <formula>AND(NOT(D16&gt;=$B16),Diário!$I$37&gt;0)</formula>
    </cfRule>
  </conditionalFormatting>
  <conditionalFormatting sqref="E16">
    <cfRule type="expression" priority="5" dxfId="0">
      <formula>AND(E16&gt;=$B16,Diário!$O$37&gt;0)</formula>
    </cfRule>
    <cfRule type="expression" priority="6" dxfId="1">
      <formula>AND(NOT(E16&gt;=$B16),Diário!$O$37&gt;0)</formula>
    </cfRule>
  </conditionalFormatting>
  <conditionalFormatting sqref="C17">
    <cfRule type="expression" priority="7" dxfId="0">
      <formula>AND(C17&lt;=$B17,Diário!$C$37&gt;0)</formula>
    </cfRule>
    <cfRule type="expression" priority="8" dxfId="1">
      <formula>AND(NOT(C17&lt;=$B17),Diário!$C$37&gt;0)</formula>
    </cfRule>
  </conditionalFormatting>
  <conditionalFormatting sqref="D17">
    <cfRule type="expression" priority="9" dxfId="0">
      <formula>AND(D17&lt;=$B17,Diário!$I$37&gt;0)</formula>
    </cfRule>
    <cfRule type="expression" priority="10" dxfId="1">
      <formula>AND(NOT(D17&lt;=$B17),Diário!$I$37&gt;0)</formula>
    </cfRule>
  </conditionalFormatting>
  <conditionalFormatting sqref="E17">
    <cfRule type="expression" priority="11" dxfId="0">
      <formula>AND(E17&lt;=$B17,Diário!$O$37&gt;0)</formula>
    </cfRule>
    <cfRule type="expression" priority="12" dxfId="1">
      <formula>AND(NOT(E17&lt;=$B17),Diário!$O$37&gt;0)</formula>
    </cfRule>
  </conditionalFormatting>
  <conditionalFormatting sqref="C18">
    <cfRule type="expression" priority="13" dxfId="0">
      <formula>AND(C18&gt;=$B18,Diário!$C$37&gt;0)</formula>
    </cfRule>
    <cfRule type="expression" priority="14" dxfId="1">
      <formula>AND(NOT(C18&gt;=$B18),Diário!$C$37&gt;0)</formula>
    </cfRule>
  </conditionalFormatting>
  <conditionalFormatting sqref="D18">
    <cfRule type="expression" priority="15" dxfId="0">
      <formula>AND(D18&gt;=$B18,Diário!$I$37&gt;0)</formula>
    </cfRule>
    <cfRule type="expression" priority="16" dxfId="1">
      <formula>AND(NOT(D18&gt;=$B18),Diário!$I$37&gt;0)</formula>
    </cfRule>
  </conditionalFormatting>
  <conditionalFormatting sqref="E18">
    <cfRule type="expression" priority="17" dxfId="0">
      <formula>AND(E18&gt;=$B18,Diário!$O$37&gt;0)</formula>
    </cfRule>
    <cfRule type="expression" priority="18" dxfId="1">
      <formula>AND(NOT(E18&gt;=$B18),Diário!$O$37&gt;0)</formula>
    </cfRule>
  </conditionalFormatting>
  <conditionalFormatting sqref="C19">
    <cfRule type="expression" priority="19" dxfId="0">
      <formula>AND(C19&gt;=$B19,Diário!$C$37&gt;0)</formula>
    </cfRule>
    <cfRule type="expression" priority="20" dxfId="1">
      <formula>AND(NOT(C19&gt;=$B19),Diário!$C$37&gt;0)</formula>
    </cfRule>
  </conditionalFormatting>
  <conditionalFormatting sqref="D19">
    <cfRule type="expression" priority="21" dxfId="0">
      <formula>AND(D19&gt;=$B19,Diário!$I$37&gt;0)</formula>
    </cfRule>
    <cfRule type="expression" priority="22" dxfId="1">
      <formula>AND(NOT(D19&gt;=$B19),Diário!$I$37&gt;0)</formula>
    </cfRule>
  </conditionalFormatting>
  <conditionalFormatting sqref="E19">
    <cfRule type="expression" priority="23" dxfId="0">
      <formula>AND(E19&gt;=$B19,Diário!$O$37&gt;0)</formula>
    </cfRule>
    <cfRule type="expression" priority="24" dxfId="1">
      <formula>AND(NOT(E19&gt;=$B19),Diário!$O$37&gt;0)</formula>
    </cfRule>
  </conditionalFormatting>
  <conditionalFormatting sqref="C20">
    <cfRule type="expression" priority="25" dxfId="0">
      <formula>AND(C20&gt;=$B20,Diário!$C$37&gt;0)</formula>
    </cfRule>
    <cfRule type="expression" priority="26" dxfId="1">
      <formula>AND(NOT(C20&gt;=$B20),Diário!$C$37&gt;0)</formula>
    </cfRule>
  </conditionalFormatting>
  <conditionalFormatting sqref="D20">
    <cfRule type="expression" priority="27" dxfId="0">
      <formula>AND(D20&gt;=$B20,Diário!$I$37&gt;0)</formula>
    </cfRule>
    <cfRule type="expression" priority="28" dxfId="1">
      <formula>AND(NOT(D20&gt;=$B20),Diário!$I$37&gt;0)</formula>
    </cfRule>
  </conditionalFormatting>
  <conditionalFormatting sqref="E20">
    <cfRule type="expression" priority="29" dxfId="0">
      <formula>AND(E20&gt;=$B20,Diário!$O$37&gt;0)</formula>
    </cfRule>
    <cfRule type="expression" priority="30" dxfId="1">
      <formula>AND(NOT(E20&gt;=$B20),Diário!$O$37&gt;0)</formula>
    </cfRule>
  </conditionalFormatting>
  <conditionalFormatting sqref="C21">
    <cfRule type="expression" priority="31" dxfId="0">
      <formula>AND(C21&gt;=$B21,Diário!$C$37&gt;0)</formula>
    </cfRule>
    <cfRule type="expression" priority="32" dxfId="1">
      <formula>AND(NOT(C21&gt;=$B21),Diário!$C$37&gt;0)</formula>
    </cfRule>
  </conditionalFormatting>
  <conditionalFormatting sqref="D21">
    <cfRule type="expression" priority="33" dxfId="0">
      <formula>AND(D21&gt;=$B21,Diário!$I$37&gt;0)</formula>
    </cfRule>
    <cfRule type="expression" priority="34" dxfId="1">
      <formula>AND(NOT(D21&gt;=$B21),Diário!$I$37&gt;0)</formula>
    </cfRule>
  </conditionalFormatting>
  <conditionalFormatting sqref="E21">
    <cfRule type="expression" priority="35" dxfId="0">
      <formula>AND(E21&gt;=$B21,Diário!$O$37&gt;0)</formula>
    </cfRule>
    <cfRule type="expression" priority="36" dxfId="1">
      <formula>AND(NOT(E21&gt;=$B21),Diário!$O$37&gt;0)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9" customWidth="1" min="1" max="1"/>
    <col width="10.5" customWidth="1" min="2" max="2"/>
    <col width="10.5" customWidth="1" min="3" max="3"/>
    <col width="9.5" customWidth="1" min="4" max="4"/>
    <col width="9.5" customWidth="1" min="5" max="5"/>
    <col width="10" customWidth="1" min="6" max="6"/>
    <col width="10.5" customWidth="1" min="7" max="7"/>
    <col width="10" customWidth="1" min="8" max="8"/>
    <col width="10.5" customWidth="1" min="9" max="9"/>
    <col width="13" customWidth="1" min="10" max="10"/>
    <col width="13" customWidth="1" min="11" max="11"/>
    <col width="7" customWidth="1" min="12" max="12"/>
  </cols>
  <sheetData>
    <row r="1" ht="30" customHeight="1">
      <c r="A1" s="1" t="inlineStr">
        <is>
          <t>Análise Semanal · time inteiro e por vendedor</t>
        </is>
      </c>
    </row>
    <row r="2" ht="16" customHeight="1">
      <c r="A2" s="2" t="inlineStr">
        <is>
          <t>Semana calculada pelo dia do mês (1-7 = Sem 1, 8-14 = Sem 2...). Tudo automático.</t>
        </is>
      </c>
    </row>
    <row r="4" ht="20" customHeight="1">
      <c r="A4" s="3" t="inlineStr">
        <is>
          <t>TIME INTEIRO, SEMANA A SEMANA</t>
        </is>
      </c>
    </row>
    <row r="5" ht="24" customHeight="1">
      <c r="A5" s="17" t="inlineStr">
        <is>
          <t>Semana</t>
        </is>
      </c>
      <c r="B5" s="17" t="inlineStr">
        <is>
          <t>Agendadas</t>
        </is>
      </c>
      <c r="C5" s="17" t="inlineStr">
        <is>
          <t>Realizadas</t>
        </is>
      </c>
      <c r="D5" s="17" t="inlineStr">
        <is>
          <t>No-shows</t>
        </is>
      </c>
      <c r="E5" s="17" t="inlineStr">
        <is>
          <t>% no-show</t>
        </is>
      </c>
      <c r="F5" s="17" t="inlineStr">
        <is>
          <t>Propostas</t>
        </is>
      </c>
      <c r="G5" s="17" t="inlineStr">
        <is>
          <t>Vendas call</t>
        </is>
      </c>
      <c r="H5" s="17" t="inlineStr">
        <is>
          <t>Vendas FU</t>
        </is>
      </c>
      <c r="I5" s="17" t="inlineStr">
        <is>
          <t>Vendas totais</t>
        </is>
      </c>
      <c r="J5" s="17" t="inlineStr">
        <is>
          <t>Conv. reunião→venda</t>
        </is>
      </c>
      <c r="K5" s="17" t="inlineStr">
        <is>
          <t>Conv. proposta→venda</t>
        </is>
      </c>
    </row>
    <row r="6" ht="18" customHeight="1">
      <c r="A6" s="27" t="inlineStr">
        <is>
          <t>Sem 1</t>
        </is>
      </c>
      <c r="B6" s="28">
        <f>SUMIFS(Diário!$C$6:$C$36,Diário!$B$6:$B$36,1)+SUMIFS(Diário!$I$6:$I$36,Diário!$B$6:$B$36,1)+SUMIFS(Diário!$O$6:$O$36,Diário!$B$6:$B$36,1)</f>
        <v/>
      </c>
      <c r="C6" s="28">
        <f>SUMIFS(Diário!$D$6:$D$36,Diário!$B$6:$B$36,1)+SUMIFS(Diário!$J$6:$J$36,Diário!$B$6:$B$36,1)+SUMIFS(Diário!$P$6:$P$36,Diário!$B$6:$B$36,1)</f>
        <v/>
      </c>
      <c r="D6" s="28">
        <f>SUMIFS(Diário!$E$6:$E$36,Diário!$B$6:$B$36,1)+SUMIFS(Diário!$K$6:$K$36,Diário!$B$6:$B$36,1)+SUMIFS(Diário!$Q$6:$Q$36,Diário!$B$6:$B$36,1)</f>
        <v/>
      </c>
      <c r="E6" s="29">
        <f>IFERROR((SUMIFS(Diário!$E$6:$E$36,Diário!$B$6:$B$36,1)+SUMIFS(Diário!$K$6:$K$36,Diário!$B$6:$B$36,1)+SUMIFS(Diário!$Q$6:$Q$36,Diário!$B$6:$B$36,1))/MAX(SUMIFS(Diário!$C$6:$C$36,Diário!$B$6:$B$36,1)+SUMIFS(Diário!$I$6:$I$36,Diário!$B$6:$B$36,1)+SUMIFS(Diário!$O$6:$O$36,Diário!$B$6:$B$36,1),1),0)</f>
        <v/>
      </c>
      <c r="F6" s="28">
        <f>SUMIFS(Diário!$F$6:$F$36,Diário!$B$6:$B$36,1)+SUMIFS(Diário!$L$6:$L$36,Diário!$B$6:$B$36,1)+SUMIFS(Diário!$R$6:$R$36,Diário!$B$6:$B$36,1)</f>
        <v/>
      </c>
      <c r="G6" s="28">
        <f>SUMIFS(Diário!$G$6:$G$36,Diário!$B$6:$B$36,1)+SUMIFS(Diário!$M$6:$M$36,Diário!$B$6:$B$36,1)+SUMIFS(Diário!$S$6:$S$36,Diário!$B$6:$B$36,1)</f>
        <v/>
      </c>
      <c r="H6" s="28">
        <f>SUMIFS(Diário!$H$6:$H$36,Diário!$B$6:$B$36,1)+SUMIFS(Diário!$N$6:$N$36,Diário!$B$6:$B$36,1)+SUMIFS(Diário!$T$6:$T$36,Diário!$B$6:$B$36,1)</f>
        <v/>
      </c>
      <c r="I6" s="20">
        <f>(SUMIFS(Diário!$G$6:$G$36,Diário!$B$6:$B$36,1)+SUMIFS(Diário!$M$6:$M$36,Diário!$B$6:$B$36,1)+SUMIFS(Diário!$S$6:$S$36,Diário!$B$6:$B$36,1))+(SUMIFS(Diário!$H$6:$H$36,Diário!$B$6:$B$36,1)+SUMIFS(Diário!$N$6:$N$36,Diário!$B$6:$B$36,1)+SUMIFS(Diário!$T$6:$T$36,Diário!$B$6:$B$36,1))</f>
        <v/>
      </c>
      <c r="J6" s="29">
        <f>IFERROR(((SUMIFS(Diário!$G$6:$G$36,Diário!$B$6:$B$36,1)+SUMIFS(Diário!$M$6:$M$36,Diário!$B$6:$B$36,1)+SUMIFS(Diário!$S$6:$S$36,Diário!$B$6:$B$36,1))+(SUMIFS(Diário!$H$6:$H$36,Diário!$B$6:$B$36,1)+SUMIFS(Diário!$N$6:$N$36,Diário!$B$6:$B$36,1)+SUMIFS(Diário!$T$6:$T$36,Diário!$B$6:$B$36,1)))/MAX(SUMIFS(Diário!$D$6:$D$36,Diário!$B$6:$B$36,1)+SUMIFS(Diário!$J$6:$J$36,Diário!$B$6:$B$36,1)+SUMIFS(Diário!$P$6:$P$36,Diário!$B$6:$B$36,1),1),0)</f>
        <v/>
      </c>
      <c r="K6" s="29">
        <f>IFERROR(((SUMIFS(Diário!$G$6:$G$36,Diário!$B$6:$B$36,1)+SUMIFS(Diário!$M$6:$M$36,Diário!$B$6:$B$36,1)+SUMIFS(Diário!$S$6:$S$36,Diário!$B$6:$B$36,1))+(SUMIFS(Diário!$H$6:$H$36,Diário!$B$6:$B$36,1)+SUMIFS(Diário!$N$6:$N$36,Diário!$B$6:$B$36,1)+SUMIFS(Diário!$T$6:$T$36,Diário!$B$6:$B$36,1)))/MAX(SUMIFS(Diário!$F$6:$F$36,Diário!$B$6:$B$36,1)+SUMIFS(Diário!$L$6:$L$36,Diário!$B$6:$B$36,1)+SUMIFS(Diário!$R$6:$R$36,Diário!$B$6:$B$36,1),1),0)</f>
        <v/>
      </c>
    </row>
    <row r="7" ht="18" customHeight="1">
      <c r="A7" s="27" t="inlineStr">
        <is>
          <t>Sem 2</t>
        </is>
      </c>
      <c r="B7" s="28">
        <f>SUMIFS(Diário!$C$6:$C$36,Diário!$B$6:$B$36,2)+SUMIFS(Diário!$I$6:$I$36,Diário!$B$6:$B$36,2)+SUMIFS(Diário!$O$6:$O$36,Diário!$B$6:$B$36,2)</f>
        <v/>
      </c>
      <c r="C7" s="28">
        <f>SUMIFS(Diário!$D$6:$D$36,Diário!$B$6:$B$36,2)+SUMIFS(Diário!$J$6:$J$36,Diário!$B$6:$B$36,2)+SUMIFS(Diário!$P$6:$P$36,Diário!$B$6:$B$36,2)</f>
        <v/>
      </c>
      <c r="D7" s="28">
        <f>SUMIFS(Diário!$E$6:$E$36,Diário!$B$6:$B$36,2)+SUMIFS(Diário!$K$6:$K$36,Diário!$B$6:$B$36,2)+SUMIFS(Diário!$Q$6:$Q$36,Diário!$B$6:$B$36,2)</f>
        <v/>
      </c>
      <c r="E7" s="29">
        <f>IFERROR((SUMIFS(Diário!$E$6:$E$36,Diário!$B$6:$B$36,2)+SUMIFS(Diário!$K$6:$K$36,Diário!$B$6:$B$36,2)+SUMIFS(Diário!$Q$6:$Q$36,Diário!$B$6:$B$36,2))/MAX(SUMIFS(Diário!$C$6:$C$36,Diário!$B$6:$B$36,2)+SUMIFS(Diário!$I$6:$I$36,Diário!$B$6:$B$36,2)+SUMIFS(Diário!$O$6:$O$36,Diário!$B$6:$B$36,2),1),0)</f>
        <v/>
      </c>
      <c r="F7" s="28">
        <f>SUMIFS(Diário!$F$6:$F$36,Diário!$B$6:$B$36,2)+SUMIFS(Diário!$L$6:$L$36,Diário!$B$6:$B$36,2)+SUMIFS(Diário!$R$6:$R$36,Diário!$B$6:$B$36,2)</f>
        <v/>
      </c>
      <c r="G7" s="28">
        <f>SUMIFS(Diário!$G$6:$G$36,Diário!$B$6:$B$36,2)+SUMIFS(Diário!$M$6:$M$36,Diário!$B$6:$B$36,2)+SUMIFS(Diário!$S$6:$S$36,Diário!$B$6:$B$36,2)</f>
        <v/>
      </c>
      <c r="H7" s="28">
        <f>SUMIFS(Diário!$H$6:$H$36,Diário!$B$6:$B$36,2)+SUMIFS(Diário!$N$6:$N$36,Diário!$B$6:$B$36,2)+SUMIFS(Diário!$T$6:$T$36,Diário!$B$6:$B$36,2)</f>
        <v/>
      </c>
      <c r="I7" s="20">
        <f>(SUMIFS(Diário!$G$6:$G$36,Diário!$B$6:$B$36,2)+SUMIFS(Diário!$M$6:$M$36,Diário!$B$6:$B$36,2)+SUMIFS(Diário!$S$6:$S$36,Diário!$B$6:$B$36,2))+(SUMIFS(Diário!$H$6:$H$36,Diário!$B$6:$B$36,2)+SUMIFS(Diário!$N$6:$N$36,Diário!$B$6:$B$36,2)+SUMIFS(Diário!$T$6:$T$36,Diário!$B$6:$B$36,2))</f>
        <v/>
      </c>
      <c r="J7" s="29">
        <f>IFERROR(((SUMIFS(Diário!$G$6:$G$36,Diário!$B$6:$B$36,2)+SUMIFS(Diário!$M$6:$M$36,Diário!$B$6:$B$36,2)+SUMIFS(Diário!$S$6:$S$36,Diário!$B$6:$B$36,2))+(SUMIFS(Diário!$H$6:$H$36,Diário!$B$6:$B$36,2)+SUMIFS(Diário!$N$6:$N$36,Diário!$B$6:$B$36,2)+SUMIFS(Diário!$T$6:$T$36,Diário!$B$6:$B$36,2)))/MAX(SUMIFS(Diário!$D$6:$D$36,Diário!$B$6:$B$36,2)+SUMIFS(Diário!$J$6:$J$36,Diário!$B$6:$B$36,2)+SUMIFS(Diário!$P$6:$P$36,Diário!$B$6:$B$36,2),1),0)</f>
        <v/>
      </c>
      <c r="K7" s="29">
        <f>IFERROR(((SUMIFS(Diário!$G$6:$G$36,Diário!$B$6:$B$36,2)+SUMIFS(Diário!$M$6:$M$36,Diário!$B$6:$B$36,2)+SUMIFS(Diário!$S$6:$S$36,Diário!$B$6:$B$36,2))+(SUMIFS(Diário!$H$6:$H$36,Diário!$B$6:$B$36,2)+SUMIFS(Diário!$N$6:$N$36,Diário!$B$6:$B$36,2)+SUMIFS(Diário!$T$6:$T$36,Diário!$B$6:$B$36,2)))/MAX(SUMIFS(Diário!$F$6:$F$36,Diário!$B$6:$B$36,2)+SUMIFS(Diário!$L$6:$L$36,Diário!$B$6:$B$36,2)+SUMIFS(Diário!$R$6:$R$36,Diário!$B$6:$B$36,2),1),0)</f>
        <v/>
      </c>
    </row>
    <row r="8" ht="18" customHeight="1">
      <c r="A8" s="27" t="inlineStr">
        <is>
          <t>Sem 3</t>
        </is>
      </c>
      <c r="B8" s="28">
        <f>SUMIFS(Diário!$C$6:$C$36,Diário!$B$6:$B$36,3)+SUMIFS(Diário!$I$6:$I$36,Diário!$B$6:$B$36,3)+SUMIFS(Diário!$O$6:$O$36,Diário!$B$6:$B$36,3)</f>
        <v/>
      </c>
      <c r="C8" s="28">
        <f>SUMIFS(Diário!$D$6:$D$36,Diário!$B$6:$B$36,3)+SUMIFS(Diário!$J$6:$J$36,Diário!$B$6:$B$36,3)+SUMIFS(Diário!$P$6:$P$36,Diário!$B$6:$B$36,3)</f>
        <v/>
      </c>
      <c r="D8" s="28">
        <f>SUMIFS(Diário!$E$6:$E$36,Diário!$B$6:$B$36,3)+SUMIFS(Diário!$K$6:$K$36,Diário!$B$6:$B$36,3)+SUMIFS(Diário!$Q$6:$Q$36,Diário!$B$6:$B$36,3)</f>
        <v/>
      </c>
      <c r="E8" s="29">
        <f>IFERROR((SUMIFS(Diário!$E$6:$E$36,Diário!$B$6:$B$36,3)+SUMIFS(Diário!$K$6:$K$36,Diário!$B$6:$B$36,3)+SUMIFS(Diário!$Q$6:$Q$36,Diário!$B$6:$B$36,3))/MAX(SUMIFS(Diário!$C$6:$C$36,Diário!$B$6:$B$36,3)+SUMIFS(Diário!$I$6:$I$36,Diário!$B$6:$B$36,3)+SUMIFS(Diário!$O$6:$O$36,Diário!$B$6:$B$36,3),1),0)</f>
        <v/>
      </c>
      <c r="F8" s="28">
        <f>SUMIFS(Diário!$F$6:$F$36,Diário!$B$6:$B$36,3)+SUMIFS(Diário!$L$6:$L$36,Diário!$B$6:$B$36,3)+SUMIFS(Diário!$R$6:$R$36,Diário!$B$6:$B$36,3)</f>
        <v/>
      </c>
      <c r="G8" s="28">
        <f>SUMIFS(Diário!$G$6:$G$36,Diário!$B$6:$B$36,3)+SUMIFS(Diário!$M$6:$M$36,Diário!$B$6:$B$36,3)+SUMIFS(Diário!$S$6:$S$36,Diário!$B$6:$B$36,3)</f>
        <v/>
      </c>
      <c r="H8" s="28">
        <f>SUMIFS(Diário!$H$6:$H$36,Diário!$B$6:$B$36,3)+SUMIFS(Diário!$N$6:$N$36,Diário!$B$6:$B$36,3)+SUMIFS(Diário!$T$6:$T$36,Diário!$B$6:$B$36,3)</f>
        <v/>
      </c>
      <c r="I8" s="20">
        <f>(SUMIFS(Diário!$G$6:$G$36,Diário!$B$6:$B$36,3)+SUMIFS(Diário!$M$6:$M$36,Diário!$B$6:$B$36,3)+SUMIFS(Diário!$S$6:$S$36,Diário!$B$6:$B$36,3))+(SUMIFS(Diário!$H$6:$H$36,Diário!$B$6:$B$36,3)+SUMIFS(Diário!$N$6:$N$36,Diário!$B$6:$B$36,3)+SUMIFS(Diário!$T$6:$T$36,Diário!$B$6:$B$36,3))</f>
        <v/>
      </c>
      <c r="J8" s="29">
        <f>IFERROR(((SUMIFS(Diário!$G$6:$G$36,Diário!$B$6:$B$36,3)+SUMIFS(Diário!$M$6:$M$36,Diário!$B$6:$B$36,3)+SUMIFS(Diário!$S$6:$S$36,Diário!$B$6:$B$36,3))+(SUMIFS(Diário!$H$6:$H$36,Diário!$B$6:$B$36,3)+SUMIFS(Diário!$N$6:$N$36,Diário!$B$6:$B$36,3)+SUMIFS(Diário!$T$6:$T$36,Diário!$B$6:$B$36,3)))/MAX(SUMIFS(Diário!$D$6:$D$36,Diário!$B$6:$B$36,3)+SUMIFS(Diário!$J$6:$J$36,Diário!$B$6:$B$36,3)+SUMIFS(Diário!$P$6:$P$36,Diário!$B$6:$B$36,3),1),0)</f>
        <v/>
      </c>
      <c r="K8" s="29">
        <f>IFERROR(((SUMIFS(Diário!$G$6:$G$36,Diário!$B$6:$B$36,3)+SUMIFS(Diário!$M$6:$M$36,Diário!$B$6:$B$36,3)+SUMIFS(Diário!$S$6:$S$36,Diário!$B$6:$B$36,3))+(SUMIFS(Diário!$H$6:$H$36,Diário!$B$6:$B$36,3)+SUMIFS(Diário!$N$6:$N$36,Diário!$B$6:$B$36,3)+SUMIFS(Diário!$T$6:$T$36,Diário!$B$6:$B$36,3)))/MAX(SUMIFS(Diário!$F$6:$F$36,Diário!$B$6:$B$36,3)+SUMIFS(Diário!$L$6:$L$36,Diário!$B$6:$B$36,3)+SUMIFS(Diário!$R$6:$R$36,Diário!$B$6:$B$36,3),1),0)</f>
        <v/>
      </c>
    </row>
    <row r="9" ht="18" customHeight="1">
      <c r="A9" s="27" t="inlineStr">
        <is>
          <t>Sem 4</t>
        </is>
      </c>
      <c r="B9" s="28">
        <f>SUMIFS(Diário!$C$6:$C$36,Diário!$B$6:$B$36,4)+SUMIFS(Diário!$I$6:$I$36,Diário!$B$6:$B$36,4)+SUMIFS(Diário!$O$6:$O$36,Diário!$B$6:$B$36,4)</f>
        <v/>
      </c>
      <c r="C9" s="28">
        <f>SUMIFS(Diário!$D$6:$D$36,Diário!$B$6:$B$36,4)+SUMIFS(Diário!$J$6:$J$36,Diário!$B$6:$B$36,4)+SUMIFS(Diário!$P$6:$P$36,Diário!$B$6:$B$36,4)</f>
        <v/>
      </c>
      <c r="D9" s="28">
        <f>SUMIFS(Diário!$E$6:$E$36,Diário!$B$6:$B$36,4)+SUMIFS(Diário!$K$6:$K$36,Diário!$B$6:$B$36,4)+SUMIFS(Diário!$Q$6:$Q$36,Diário!$B$6:$B$36,4)</f>
        <v/>
      </c>
      <c r="E9" s="29">
        <f>IFERROR((SUMIFS(Diário!$E$6:$E$36,Diário!$B$6:$B$36,4)+SUMIFS(Diário!$K$6:$K$36,Diário!$B$6:$B$36,4)+SUMIFS(Diário!$Q$6:$Q$36,Diário!$B$6:$B$36,4))/MAX(SUMIFS(Diário!$C$6:$C$36,Diário!$B$6:$B$36,4)+SUMIFS(Diário!$I$6:$I$36,Diário!$B$6:$B$36,4)+SUMIFS(Diário!$O$6:$O$36,Diário!$B$6:$B$36,4),1),0)</f>
        <v/>
      </c>
      <c r="F9" s="28">
        <f>SUMIFS(Diário!$F$6:$F$36,Diário!$B$6:$B$36,4)+SUMIFS(Diário!$L$6:$L$36,Diário!$B$6:$B$36,4)+SUMIFS(Diário!$R$6:$R$36,Diário!$B$6:$B$36,4)</f>
        <v/>
      </c>
      <c r="G9" s="28">
        <f>SUMIFS(Diário!$G$6:$G$36,Diário!$B$6:$B$36,4)+SUMIFS(Diário!$M$6:$M$36,Diário!$B$6:$B$36,4)+SUMIFS(Diário!$S$6:$S$36,Diário!$B$6:$B$36,4)</f>
        <v/>
      </c>
      <c r="H9" s="28">
        <f>SUMIFS(Diário!$H$6:$H$36,Diário!$B$6:$B$36,4)+SUMIFS(Diário!$N$6:$N$36,Diário!$B$6:$B$36,4)+SUMIFS(Diário!$T$6:$T$36,Diário!$B$6:$B$36,4)</f>
        <v/>
      </c>
      <c r="I9" s="20">
        <f>(SUMIFS(Diário!$G$6:$G$36,Diário!$B$6:$B$36,4)+SUMIFS(Diário!$M$6:$M$36,Diário!$B$6:$B$36,4)+SUMIFS(Diário!$S$6:$S$36,Diário!$B$6:$B$36,4))+(SUMIFS(Diário!$H$6:$H$36,Diário!$B$6:$B$36,4)+SUMIFS(Diário!$N$6:$N$36,Diário!$B$6:$B$36,4)+SUMIFS(Diário!$T$6:$T$36,Diário!$B$6:$B$36,4))</f>
        <v/>
      </c>
      <c r="J9" s="29">
        <f>IFERROR(((SUMIFS(Diário!$G$6:$G$36,Diário!$B$6:$B$36,4)+SUMIFS(Diário!$M$6:$M$36,Diário!$B$6:$B$36,4)+SUMIFS(Diário!$S$6:$S$36,Diário!$B$6:$B$36,4))+(SUMIFS(Diário!$H$6:$H$36,Diário!$B$6:$B$36,4)+SUMIFS(Diário!$N$6:$N$36,Diário!$B$6:$B$36,4)+SUMIFS(Diário!$T$6:$T$36,Diário!$B$6:$B$36,4)))/MAX(SUMIFS(Diário!$D$6:$D$36,Diário!$B$6:$B$36,4)+SUMIFS(Diário!$J$6:$J$36,Diário!$B$6:$B$36,4)+SUMIFS(Diário!$P$6:$P$36,Diário!$B$6:$B$36,4),1),0)</f>
        <v/>
      </c>
      <c r="K9" s="29">
        <f>IFERROR(((SUMIFS(Diário!$G$6:$G$36,Diário!$B$6:$B$36,4)+SUMIFS(Diário!$M$6:$M$36,Diário!$B$6:$B$36,4)+SUMIFS(Diário!$S$6:$S$36,Diário!$B$6:$B$36,4))+(SUMIFS(Diário!$H$6:$H$36,Diário!$B$6:$B$36,4)+SUMIFS(Diário!$N$6:$N$36,Diário!$B$6:$B$36,4)+SUMIFS(Diário!$T$6:$T$36,Diário!$B$6:$B$36,4)))/MAX(SUMIFS(Diário!$F$6:$F$36,Diário!$B$6:$B$36,4)+SUMIFS(Diário!$L$6:$L$36,Diário!$B$6:$B$36,4)+SUMIFS(Diário!$R$6:$R$36,Diário!$B$6:$B$36,4),1),0)</f>
        <v/>
      </c>
    </row>
    <row r="10" ht="18" customHeight="1">
      <c r="A10" s="27" t="inlineStr">
        <is>
          <t>Sem 5</t>
        </is>
      </c>
      <c r="B10" s="28">
        <f>SUMIFS(Diário!$C$6:$C$36,Diário!$B$6:$B$36,5)+SUMIFS(Diário!$I$6:$I$36,Diário!$B$6:$B$36,5)+SUMIFS(Diário!$O$6:$O$36,Diário!$B$6:$B$36,5)</f>
        <v/>
      </c>
      <c r="C10" s="28">
        <f>SUMIFS(Diário!$D$6:$D$36,Diário!$B$6:$B$36,5)+SUMIFS(Diário!$J$6:$J$36,Diário!$B$6:$B$36,5)+SUMIFS(Diário!$P$6:$P$36,Diário!$B$6:$B$36,5)</f>
        <v/>
      </c>
      <c r="D10" s="28">
        <f>SUMIFS(Diário!$E$6:$E$36,Diário!$B$6:$B$36,5)+SUMIFS(Diário!$K$6:$K$36,Diário!$B$6:$B$36,5)+SUMIFS(Diário!$Q$6:$Q$36,Diário!$B$6:$B$36,5)</f>
        <v/>
      </c>
      <c r="E10" s="29">
        <f>IFERROR((SUMIFS(Diário!$E$6:$E$36,Diário!$B$6:$B$36,5)+SUMIFS(Diário!$K$6:$K$36,Diário!$B$6:$B$36,5)+SUMIFS(Diário!$Q$6:$Q$36,Diário!$B$6:$B$36,5))/MAX(SUMIFS(Diário!$C$6:$C$36,Diário!$B$6:$B$36,5)+SUMIFS(Diário!$I$6:$I$36,Diário!$B$6:$B$36,5)+SUMIFS(Diário!$O$6:$O$36,Diário!$B$6:$B$36,5),1),0)</f>
        <v/>
      </c>
      <c r="F10" s="28">
        <f>SUMIFS(Diário!$F$6:$F$36,Diário!$B$6:$B$36,5)+SUMIFS(Diário!$L$6:$L$36,Diário!$B$6:$B$36,5)+SUMIFS(Diário!$R$6:$R$36,Diário!$B$6:$B$36,5)</f>
        <v/>
      </c>
      <c r="G10" s="28">
        <f>SUMIFS(Diário!$G$6:$G$36,Diário!$B$6:$B$36,5)+SUMIFS(Diário!$M$6:$M$36,Diário!$B$6:$B$36,5)+SUMIFS(Diário!$S$6:$S$36,Diário!$B$6:$B$36,5)</f>
        <v/>
      </c>
      <c r="H10" s="28">
        <f>SUMIFS(Diário!$H$6:$H$36,Diário!$B$6:$B$36,5)+SUMIFS(Diário!$N$6:$N$36,Diário!$B$6:$B$36,5)+SUMIFS(Diário!$T$6:$T$36,Diário!$B$6:$B$36,5)</f>
        <v/>
      </c>
      <c r="I10" s="20">
        <f>(SUMIFS(Diário!$G$6:$G$36,Diário!$B$6:$B$36,5)+SUMIFS(Diário!$M$6:$M$36,Diário!$B$6:$B$36,5)+SUMIFS(Diário!$S$6:$S$36,Diário!$B$6:$B$36,5))+(SUMIFS(Diário!$H$6:$H$36,Diário!$B$6:$B$36,5)+SUMIFS(Diário!$N$6:$N$36,Diário!$B$6:$B$36,5)+SUMIFS(Diário!$T$6:$T$36,Diário!$B$6:$B$36,5))</f>
        <v/>
      </c>
      <c r="J10" s="29">
        <f>IFERROR(((SUMIFS(Diário!$G$6:$G$36,Diário!$B$6:$B$36,5)+SUMIFS(Diário!$M$6:$M$36,Diário!$B$6:$B$36,5)+SUMIFS(Diário!$S$6:$S$36,Diário!$B$6:$B$36,5))+(SUMIFS(Diário!$H$6:$H$36,Diário!$B$6:$B$36,5)+SUMIFS(Diário!$N$6:$N$36,Diário!$B$6:$B$36,5)+SUMIFS(Diário!$T$6:$T$36,Diário!$B$6:$B$36,5)))/MAX(SUMIFS(Diário!$D$6:$D$36,Diário!$B$6:$B$36,5)+SUMIFS(Diário!$J$6:$J$36,Diário!$B$6:$B$36,5)+SUMIFS(Diário!$P$6:$P$36,Diário!$B$6:$B$36,5),1),0)</f>
        <v/>
      </c>
      <c r="K10" s="29">
        <f>IFERROR(((SUMIFS(Diário!$G$6:$G$36,Diário!$B$6:$B$36,5)+SUMIFS(Diário!$M$6:$M$36,Diário!$B$6:$B$36,5)+SUMIFS(Diário!$S$6:$S$36,Diário!$B$6:$B$36,5))+(SUMIFS(Diário!$H$6:$H$36,Diário!$B$6:$B$36,5)+SUMIFS(Diário!$N$6:$N$36,Diário!$B$6:$B$36,5)+SUMIFS(Diário!$T$6:$T$36,Diário!$B$6:$B$36,5)))/MAX(SUMIFS(Diário!$F$6:$F$36,Diário!$B$6:$B$36,5)+SUMIFS(Diário!$L$6:$L$36,Diário!$B$6:$B$36,5)+SUMIFS(Diário!$R$6:$R$36,Diário!$B$6:$B$36,5),1),0)</f>
        <v/>
      </c>
    </row>
    <row r="11" ht="20" customHeight="1">
      <c r="A11" s="30" t="inlineStr">
        <is>
          <t>MÊS</t>
        </is>
      </c>
      <c r="B11" s="20">
        <f>Diário!$C$37+Diário!$I$37+Diário!$O$37</f>
        <v/>
      </c>
      <c r="C11" s="20">
        <f>Diário!$D$37+Diário!$J$37+Diário!$P$37</f>
        <v/>
      </c>
      <c r="D11" s="20">
        <f>Diário!$E$37+Diário!$K$37+Diário!$Q$37</f>
        <v/>
      </c>
      <c r="E11" s="25">
        <f>IFERROR((Diário!$E$37+Diário!$K$37+Diário!$Q$37)/MAX(Diário!$C$37+Diário!$I$37+Diário!$O$37,1),0)</f>
        <v/>
      </c>
      <c r="F11" s="20">
        <f>Diário!$F$37+Diário!$L$37+Diário!$R$37</f>
        <v/>
      </c>
      <c r="G11" s="20">
        <f>Diário!$G$37+Diário!$M$37+Diário!$S$37</f>
        <v/>
      </c>
      <c r="H11" s="20">
        <f>Diário!$H$37+Diário!$N$37+Diário!$T$37</f>
        <v/>
      </c>
      <c r="I11" s="31">
        <f>(Diário!$G$37+Diário!$M$37+Diário!$S$37)+(Diário!$H$37+Diário!$N$37+Diário!$T$37)</f>
        <v/>
      </c>
      <c r="J11" s="26">
        <f>IFERROR(((Diário!$G$37+Diário!$M$37+Diário!$S$37)+(Diário!$H$37+Diário!$N$37+Diário!$T$37))/MAX(Diário!$D$37+Diário!$J$37+Diário!$P$37,1),0)</f>
        <v/>
      </c>
      <c r="K11" s="26">
        <f>IFERROR(((Diário!$G$37+Diário!$M$37+Diário!$S$37)+(Diário!$H$37+Diário!$N$37+Diário!$T$37))/MAX(Diário!$F$37+Diário!$L$37+Diário!$R$37,1),0)</f>
        <v/>
      </c>
    </row>
    <row r="13" ht="20" customHeight="1">
      <c r="A13" s="3" t="inlineStr">
        <is>
          <t>POR VENDEDOR, SEMANA A SEMANA (REALIZADAS · VENDAS · CONVERSÃO)</t>
        </is>
      </c>
    </row>
    <row r="14">
      <c r="A14" s="32">
        <f>Equipe!$B$6</f>
        <v/>
      </c>
      <c r="B14" s="10" t="n"/>
      <c r="C14" s="10" t="n"/>
      <c r="E14" s="32">
        <f>Equipe!$B$7</f>
        <v/>
      </c>
      <c r="F14" s="10" t="n"/>
      <c r="G14" s="10" t="n"/>
      <c r="I14" s="32">
        <f>Equipe!$B$8</f>
        <v/>
      </c>
      <c r="J14" s="10" t="n"/>
      <c r="K14" s="10" t="n"/>
    </row>
    <row r="15">
      <c r="A15" s="16" t="inlineStr">
        <is>
          <t>Reuni.</t>
        </is>
      </c>
      <c r="B15" s="16" t="inlineStr">
        <is>
          <t>Vendas</t>
        </is>
      </c>
      <c r="C15" s="16" t="inlineStr">
        <is>
          <t>Conv.</t>
        </is>
      </c>
      <c r="E15" s="16" t="inlineStr">
        <is>
          <t>Reuni.</t>
        </is>
      </c>
      <c r="F15" s="16" t="inlineStr">
        <is>
          <t>Vendas</t>
        </is>
      </c>
      <c r="G15" s="16" t="inlineStr">
        <is>
          <t>Conv.</t>
        </is>
      </c>
      <c r="I15" s="16" t="inlineStr">
        <is>
          <t>Reuni.</t>
        </is>
      </c>
      <c r="J15" s="16" t="inlineStr">
        <is>
          <t>Vendas</t>
        </is>
      </c>
      <c r="K15" s="16" t="inlineStr">
        <is>
          <t>Conv.</t>
        </is>
      </c>
    </row>
    <row r="16" ht="16" customHeight="1">
      <c r="A16" s="28">
        <f>SUMIFS(Diário!$D$6:$D$36,Diário!$B$6:$B$36,1)</f>
        <v/>
      </c>
      <c r="B16" s="28">
        <f>SUMIFS(Diário!$G$6:$G$36,Diário!$B$6:$B$36,1)+SUMIFS(Diário!$H$6:$H$36,Diário!$B$6:$B$36,1)</f>
        <v/>
      </c>
      <c r="C16" s="29">
        <f>IFERROR((SUMIFS(Diário!$G$6:$G$36,Diário!$B$6:$B$36,1)+SUMIFS(Diário!$H$6:$H$36,Diário!$B$6:$B$36,1))/MAX(SUMIFS(Diário!$D$6:$D$36,Diário!$B$6:$B$36,1),1),0)</f>
        <v/>
      </c>
      <c r="E16" s="28">
        <f>SUMIFS(Diário!$J$6:$J$36,Diário!$B$6:$B$36,1)</f>
        <v/>
      </c>
      <c r="F16" s="28">
        <f>SUMIFS(Diário!$M$6:$M$36,Diário!$B$6:$B$36,1)+SUMIFS(Diário!$N$6:$N$36,Diário!$B$6:$B$36,1)</f>
        <v/>
      </c>
      <c r="G16" s="29">
        <f>IFERROR((SUMIFS(Diário!$M$6:$M$36,Diário!$B$6:$B$36,1)+SUMIFS(Diário!$N$6:$N$36,Diário!$B$6:$B$36,1))/MAX(SUMIFS(Diário!$J$6:$J$36,Diário!$B$6:$B$36,1),1),0)</f>
        <v/>
      </c>
      <c r="I16" s="28">
        <f>SUMIFS(Diário!$P$6:$P$36,Diário!$B$6:$B$36,1)</f>
        <v/>
      </c>
      <c r="J16" s="28">
        <f>SUMIFS(Diário!$S$6:$S$36,Diário!$B$6:$B$36,1)+SUMIFS(Diário!$T$6:$T$36,Diário!$B$6:$B$36,1)</f>
        <v/>
      </c>
      <c r="K16" s="29">
        <f>IFERROR((SUMIFS(Diário!$S$6:$S$36,Diário!$B$6:$B$36,1)+SUMIFS(Diário!$T$6:$T$36,Diário!$B$6:$B$36,1))/MAX(SUMIFS(Diário!$P$6:$P$36,Diário!$B$6:$B$36,1),1),0)</f>
        <v/>
      </c>
      <c r="L16" s="33" t="inlineStr">
        <is>
          <t>Sem 1</t>
        </is>
      </c>
    </row>
    <row r="17" ht="16" customHeight="1">
      <c r="A17" s="28">
        <f>SUMIFS(Diário!$D$6:$D$36,Diário!$B$6:$B$36,2)</f>
        <v/>
      </c>
      <c r="B17" s="28">
        <f>SUMIFS(Diário!$G$6:$G$36,Diário!$B$6:$B$36,2)+SUMIFS(Diário!$H$6:$H$36,Diário!$B$6:$B$36,2)</f>
        <v/>
      </c>
      <c r="C17" s="29">
        <f>IFERROR((SUMIFS(Diário!$G$6:$G$36,Diário!$B$6:$B$36,2)+SUMIFS(Diário!$H$6:$H$36,Diário!$B$6:$B$36,2))/MAX(SUMIFS(Diário!$D$6:$D$36,Diário!$B$6:$B$36,2),1),0)</f>
        <v/>
      </c>
      <c r="E17" s="28">
        <f>SUMIFS(Diário!$J$6:$J$36,Diário!$B$6:$B$36,2)</f>
        <v/>
      </c>
      <c r="F17" s="28">
        <f>SUMIFS(Diário!$M$6:$M$36,Diário!$B$6:$B$36,2)+SUMIFS(Diário!$N$6:$N$36,Diário!$B$6:$B$36,2)</f>
        <v/>
      </c>
      <c r="G17" s="29">
        <f>IFERROR((SUMIFS(Diário!$M$6:$M$36,Diário!$B$6:$B$36,2)+SUMIFS(Diário!$N$6:$N$36,Diário!$B$6:$B$36,2))/MAX(SUMIFS(Diário!$J$6:$J$36,Diário!$B$6:$B$36,2),1),0)</f>
        <v/>
      </c>
      <c r="I17" s="28">
        <f>SUMIFS(Diário!$P$6:$P$36,Diário!$B$6:$B$36,2)</f>
        <v/>
      </c>
      <c r="J17" s="28">
        <f>SUMIFS(Diário!$S$6:$S$36,Diário!$B$6:$B$36,2)+SUMIFS(Diário!$T$6:$T$36,Diário!$B$6:$B$36,2)</f>
        <v/>
      </c>
      <c r="K17" s="29">
        <f>IFERROR((SUMIFS(Diário!$S$6:$S$36,Diário!$B$6:$B$36,2)+SUMIFS(Diário!$T$6:$T$36,Diário!$B$6:$B$36,2))/MAX(SUMIFS(Diário!$P$6:$P$36,Diário!$B$6:$B$36,2),1),0)</f>
        <v/>
      </c>
      <c r="L17" s="33" t="inlineStr">
        <is>
          <t>Sem 2</t>
        </is>
      </c>
    </row>
    <row r="18" ht="16" customHeight="1">
      <c r="A18" s="28">
        <f>SUMIFS(Diário!$D$6:$D$36,Diário!$B$6:$B$36,3)</f>
        <v/>
      </c>
      <c r="B18" s="28">
        <f>SUMIFS(Diário!$G$6:$G$36,Diário!$B$6:$B$36,3)+SUMIFS(Diário!$H$6:$H$36,Diário!$B$6:$B$36,3)</f>
        <v/>
      </c>
      <c r="C18" s="29">
        <f>IFERROR((SUMIFS(Diário!$G$6:$G$36,Diário!$B$6:$B$36,3)+SUMIFS(Diário!$H$6:$H$36,Diário!$B$6:$B$36,3))/MAX(SUMIFS(Diário!$D$6:$D$36,Diário!$B$6:$B$36,3),1),0)</f>
        <v/>
      </c>
      <c r="E18" s="28">
        <f>SUMIFS(Diário!$J$6:$J$36,Diário!$B$6:$B$36,3)</f>
        <v/>
      </c>
      <c r="F18" s="28">
        <f>SUMIFS(Diário!$M$6:$M$36,Diário!$B$6:$B$36,3)+SUMIFS(Diário!$N$6:$N$36,Diário!$B$6:$B$36,3)</f>
        <v/>
      </c>
      <c r="G18" s="29">
        <f>IFERROR((SUMIFS(Diário!$M$6:$M$36,Diário!$B$6:$B$36,3)+SUMIFS(Diário!$N$6:$N$36,Diário!$B$6:$B$36,3))/MAX(SUMIFS(Diário!$J$6:$J$36,Diário!$B$6:$B$36,3),1),0)</f>
        <v/>
      </c>
      <c r="I18" s="28">
        <f>SUMIFS(Diário!$P$6:$P$36,Diário!$B$6:$B$36,3)</f>
        <v/>
      </c>
      <c r="J18" s="28">
        <f>SUMIFS(Diário!$S$6:$S$36,Diário!$B$6:$B$36,3)+SUMIFS(Diário!$T$6:$T$36,Diário!$B$6:$B$36,3)</f>
        <v/>
      </c>
      <c r="K18" s="29">
        <f>IFERROR((SUMIFS(Diário!$S$6:$S$36,Diário!$B$6:$B$36,3)+SUMIFS(Diário!$T$6:$T$36,Diário!$B$6:$B$36,3))/MAX(SUMIFS(Diário!$P$6:$P$36,Diário!$B$6:$B$36,3),1),0)</f>
        <v/>
      </c>
      <c r="L18" s="33" t="inlineStr">
        <is>
          <t>Sem 3</t>
        </is>
      </c>
    </row>
    <row r="19" ht="16" customHeight="1">
      <c r="A19" s="28">
        <f>SUMIFS(Diário!$D$6:$D$36,Diário!$B$6:$B$36,4)</f>
        <v/>
      </c>
      <c r="B19" s="28">
        <f>SUMIFS(Diário!$G$6:$G$36,Diário!$B$6:$B$36,4)+SUMIFS(Diário!$H$6:$H$36,Diário!$B$6:$B$36,4)</f>
        <v/>
      </c>
      <c r="C19" s="29">
        <f>IFERROR((SUMIFS(Diário!$G$6:$G$36,Diário!$B$6:$B$36,4)+SUMIFS(Diário!$H$6:$H$36,Diário!$B$6:$B$36,4))/MAX(SUMIFS(Diário!$D$6:$D$36,Diário!$B$6:$B$36,4),1),0)</f>
        <v/>
      </c>
      <c r="E19" s="28">
        <f>SUMIFS(Diário!$J$6:$J$36,Diário!$B$6:$B$36,4)</f>
        <v/>
      </c>
      <c r="F19" s="28">
        <f>SUMIFS(Diário!$M$6:$M$36,Diário!$B$6:$B$36,4)+SUMIFS(Diário!$N$6:$N$36,Diário!$B$6:$B$36,4)</f>
        <v/>
      </c>
      <c r="G19" s="29">
        <f>IFERROR((SUMIFS(Diário!$M$6:$M$36,Diário!$B$6:$B$36,4)+SUMIFS(Diário!$N$6:$N$36,Diário!$B$6:$B$36,4))/MAX(SUMIFS(Diário!$J$6:$J$36,Diário!$B$6:$B$36,4),1),0)</f>
        <v/>
      </c>
      <c r="I19" s="28">
        <f>SUMIFS(Diário!$P$6:$P$36,Diário!$B$6:$B$36,4)</f>
        <v/>
      </c>
      <c r="J19" s="28">
        <f>SUMIFS(Diário!$S$6:$S$36,Diário!$B$6:$B$36,4)+SUMIFS(Diário!$T$6:$T$36,Diário!$B$6:$B$36,4)</f>
        <v/>
      </c>
      <c r="K19" s="29">
        <f>IFERROR((SUMIFS(Diário!$S$6:$S$36,Diário!$B$6:$B$36,4)+SUMIFS(Diário!$T$6:$T$36,Diário!$B$6:$B$36,4))/MAX(SUMIFS(Diário!$P$6:$P$36,Diário!$B$6:$B$36,4),1),0)</f>
        <v/>
      </c>
      <c r="L19" s="33" t="inlineStr">
        <is>
          <t>Sem 4</t>
        </is>
      </c>
    </row>
    <row r="20" ht="16" customHeight="1">
      <c r="A20" s="28">
        <f>SUMIFS(Diário!$D$6:$D$36,Diário!$B$6:$B$36,5)</f>
        <v/>
      </c>
      <c r="B20" s="28">
        <f>SUMIFS(Diário!$G$6:$G$36,Diário!$B$6:$B$36,5)+SUMIFS(Diário!$H$6:$H$36,Diário!$B$6:$B$36,5)</f>
        <v/>
      </c>
      <c r="C20" s="29">
        <f>IFERROR((SUMIFS(Diário!$G$6:$G$36,Diário!$B$6:$B$36,5)+SUMIFS(Diário!$H$6:$H$36,Diário!$B$6:$B$36,5))/MAX(SUMIFS(Diário!$D$6:$D$36,Diário!$B$6:$B$36,5),1),0)</f>
        <v/>
      </c>
      <c r="E20" s="28">
        <f>SUMIFS(Diário!$J$6:$J$36,Diário!$B$6:$B$36,5)</f>
        <v/>
      </c>
      <c r="F20" s="28">
        <f>SUMIFS(Diário!$M$6:$M$36,Diário!$B$6:$B$36,5)+SUMIFS(Diário!$N$6:$N$36,Diário!$B$6:$B$36,5)</f>
        <v/>
      </c>
      <c r="G20" s="29">
        <f>IFERROR((SUMIFS(Diário!$M$6:$M$36,Diário!$B$6:$B$36,5)+SUMIFS(Diário!$N$6:$N$36,Diário!$B$6:$B$36,5))/MAX(SUMIFS(Diário!$J$6:$J$36,Diário!$B$6:$B$36,5),1),0)</f>
        <v/>
      </c>
      <c r="I20" s="28">
        <f>SUMIFS(Diário!$P$6:$P$36,Diário!$B$6:$B$36,5)</f>
        <v/>
      </c>
      <c r="J20" s="28">
        <f>SUMIFS(Diário!$S$6:$S$36,Diário!$B$6:$B$36,5)+SUMIFS(Diário!$T$6:$T$36,Diário!$B$6:$B$36,5)</f>
        <v/>
      </c>
      <c r="K20" s="29">
        <f>IFERROR((SUMIFS(Diário!$S$6:$S$36,Diário!$B$6:$B$36,5)+SUMIFS(Diário!$T$6:$T$36,Diário!$B$6:$B$36,5))/MAX(SUMIFS(Diário!$P$6:$P$36,Diário!$B$6:$B$36,5),1),0)</f>
        <v/>
      </c>
      <c r="L20" s="33" t="inlineStr">
        <is>
          <t>Sem 5</t>
        </is>
      </c>
    </row>
  </sheetData>
  <mergeCells count="7">
    <mergeCell ref="A4:K4"/>
    <mergeCell ref="E14:G14"/>
    <mergeCell ref="I14:K14"/>
    <mergeCell ref="A14:C14"/>
    <mergeCell ref="A2:K2"/>
    <mergeCell ref="A13:K13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.5" customWidth="1" min="1" max="1"/>
    <col width="20" customWidth="1" min="2" max="2"/>
    <col width="20" customWidth="1" min="3" max="3"/>
    <col width="17" customWidth="1" min="4" max="4"/>
  </cols>
  <sheetData>
    <row r="1" ht="30" customHeight="1">
      <c r="A1" s="1" t="inlineStr">
        <is>
          <t>Equipe · Closers e Metas</t>
        </is>
      </c>
    </row>
    <row r="2" ht="16" customHeight="1">
      <c r="A2" s="2" t="inlineStr">
        <is>
          <t>Edite os campos amarelos. Os nomes alimentam todas as abas.</t>
        </is>
      </c>
    </row>
    <row r="4" ht="20" customHeight="1">
      <c r="A4" s="3" t="inlineStr">
        <is>
          <t>VENDEDORES (CLOSERS)</t>
        </is>
      </c>
    </row>
    <row r="5">
      <c r="A5" s="17" t="inlineStr">
        <is>
          <t>#</t>
        </is>
      </c>
      <c r="B5" s="17" t="inlineStr">
        <is>
          <t>Nome</t>
        </is>
      </c>
      <c r="C5" s="17" t="inlineStr">
        <is>
          <t>Meta de reuniões/semana</t>
        </is>
      </c>
      <c r="D5" s="17" t="inlineStr">
        <is>
          <t>Meta de vendas/mês</t>
        </is>
      </c>
    </row>
    <row r="6" ht="20" customHeight="1">
      <c r="A6" s="34" t="n">
        <v>1</v>
      </c>
      <c r="B6" s="35" t="inlineStr">
        <is>
          <t>Vendedor 1</t>
        </is>
      </c>
      <c r="C6" s="36" t="n">
        <v>15</v>
      </c>
      <c r="D6" s="36" t="n">
        <v>8</v>
      </c>
    </row>
    <row r="7" ht="20" customHeight="1">
      <c r="A7" s="34" t="n">
        <v>2</v>
      </c>
      <c r="B7" s="35" t="inlineStr">
        <is>
          <t>Vendedor 2</t>
        </is>
      </c>
      <c r="C7" s="36" t="n">
        <v>15</v>
      </c>
      <c r="D7" s="36" t="n">
        <v>8</v>
      </c>
    </row>
    <row r="8" ht="20" customHeight="1">
      <c r="A8" s="34" t="n">
        <v>3</v>
      </c>
      <c r="B8" s="35" t="inlineStr">
        <is>
          <t>Vendedor 3</t>
        </is>
      </c>
      <c r="C8" s="36" t="n">
        <v>15</v>
      </c>
      <c r="D8" s="36" t="n">
        <v>8</v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.5" customWidth="1" min="2" max="2"/>
    <col width="7.8" customWidth="1" min="3" max="3"/>
    <col width="7.8" customWidth="1" min="4" max="4"/>
    <col width="7.8" customWidth="1" min="5" max="5"/>
    <col width="7.8" customWidth="1" min="6" max="6"/>
    <col width="7.8" customWidth="1" min="7" max="7"/>
    <col width="7.8" customWidth="1" min="8" max="8"/>
    <col width="7.8" customWidth="1" min="9" max="9"/>
    <col width="7.8" customWidth="1" min="10" max="10"/>
    <col width="7.8" customWidth="1" min="11" max="11"/>
    <col width="7.8" customWidth="1" min="12" max="12"/>
    <col width="7.8" customWidth="1" min="13" max="13"/>
    <col width="7.8" customWidth="1" min="14" max="14"/>
    <col width="7.8" customWidth="1" min="15" max="15"/>
    <col width="7.8" customWidth="1" min="16" max="16"/>
    <col width="7.8" customWidth="1" min="17" max="17"/>
    <col width="7.8" customWidth="1" min="18" max="18"/>
    <col width="7.8" customWidth="1" min="19" max="19"/>
    <col width="7.8" customWidth="1" min="20" max="20"/>
  </cols>
  <sheetData>
    <row r="1" ht="30" customHeight="1">
      <c r="A1" s="1" t="inlineStr">
        <is>
          <t>Lançamento Diário · só números, 30 segundos</t>
        </is>
      </c>
    </row>
    <row r="2" ht="16" customHeight="1">
      <c r="A2" s="2" t="inlineStr">
        <is>
          <t>Cada vendedor preenche a própria coluna no fim do dia. Deixe em branco os dias sem agenda.</t>
        </is>
      </c>
    </row>
    <row r="4" ht="22" customHeight="1">
      <c r="A4" s="16" t="inlineStr">
        <is>
          <t>Dia</t>
        </is>
      </c>
      <c r="B4" s="16" t="inlineStr">
        <is>
          <t>Sem.</t>
        </is>
      </c>
      <c r="C4" s="37">
        <f>Equipe!$B$6</f>
        <v/>
      </c>
      <c r="D4" s="10" t="n"/>
      <c r="E4" s="10" t="n"/>
      <c r="F4" s="10" t="n"/>
      <c r="G4" s="10" t="n"/>
      <c r="H4" s="10" t="n"/>
      <c r="I4" s="37">
        <f>Equipe!$B$7</f>
        <v/>
      </c>
      <c r="J4" s="10" t="n"/>
      <c r="K4" s="10" t="n"/>
      <c r="L4" s="10" t="n"/>
      <c r="M4" s="10" t="n"/>
      <c r="N4" s="10" t="n"/>
      <c r="O4" s="37">
        <f>Equipe!$B$8</f>
        <v/>
      </c>
      <c r="P4" s="10" t="n"/>
      <c r="Q4" s="10" t="n"/>
      <c r="R4" s="10" t="n"/>
      <c r="S4" s="10" t="n"/>
      <c r="T4" s="10" t="n"/>
    </row>
    <row r="5" ht="18" customHeight="1">
      <c r="A5" s="38" t="n"/>
      <c r="B5" s="38" t="n"/>
      <c r="C5" s="39" t="inlineStr">
        <is>
          <t>Agend.</t>
        </is>
      </c>
      <c r="D5" s="39" t="inlineStr">
        <is>
          <t>Realiz.</t>
        </is>
      </c>
      <c r="E5" s="39" t="inlineStr">
        <is>
          <t>No-show</t>
        </is>
      </c>
      <c r="F5" s="39" t="inlineStr">
        <is>
          <t>Prop.</t>
        </is>
      </c>
      <c r="G5" s="39" t="inlineStr">
        <is>
          <t>Vd call</t>
        </is>
      </c>
      <c r="H5" s="39" t="inlineStr">
        <is>
          <t>Vd FU</t>
        </is>
      </c>
      <c r="I5" s="16" t="inlineStr">
        <is>
          <t>Agend.</t>
        </is>
      </c>
      <c r="J5" s="16" t="inlineStr">
        <is>
          <t>Realiz.</t>
        </is>
      </c>
      <c r="K5" s="16" t="inlineStr">
        <is>
          <t>No-show</t>
        </is>
      </c>
      <c r="L5" s="16" t="inlineStr">
        <is>
          <t>Prop.</t>
        </is>
      </c>
      <c r="M5" s="16" t="inlineStr">
        <is>
          <t>Vd call</t>
        </is>
      </c>
      <c r="N5" s="16" t="inlineStr">
        <is>
          <t>Vd FU</t>
        </is>
      </c>
      <c r="O5" s="39" t="inlineStr">
        <is>
          <t>Agend.</t>
        </is>
      </c>
      <c r="P5" s="39" t="inlineStr">
        <is>
          <t>Realiz.</t>
        </is>
      </c>
      <c r="Q5" s="39" t="inlineStr">
        <is>
          <t>No-show</t>
        </is>
      </c>
      <c r="R5" s="39" t="inlineStr">
        <is>
          <t>Prop.</t>
        </is>
      </c>
      <c r="S5" s="39" t="inlineStr">
        <is>
          <t>Vd call</t>
        </is>
      </c>
      <c r="T5" s="39" t="inlineStr">
        <is>
          <t>Vd FU</t>
        </is>
      </c>
    </row>
    <row r="6" ht="16" customHeight="1">
      <c r="A6" s="40" t="n">
        <v>1</v>
      </c>
      <c r="B6" s="34">
        <f>ROUNDUP(A6/7,0)</f>
        <v/>
      </c>
      <c r="C6" s="41" t="n"/>
      <c r="D6" s="41" t="n"/>
      <c r="E6" s="41" t="n"/>
      <c r="F6" s="41" t="n"/>
      <c r="G6" s="41" t="n"/>
      <c r="H6" s="41" t="n"/>
      <c r="I6" s="42" t="n"/>
      <c r="J6" s="42" t="n"/>
      <c r="K6" s="42" t="n"/>
      <c r="L6" s="42" t="n"/>
      <c r="M6" s="42" t="n"/>
      <c r="N6" s="42" t="n"/>
      <c r="O6" s="41" t="n"/>
      <c r="P6" s="41" t="n"/>
      <c r="Q6" s="41" t="n"/>
      <c r="R6" s="41" t="n"/>
      <c r="S6" s="41" t="n"/>
      <c r="T6" s="41" t="n"/>
    </row>
    <row r="7" ht="16" customHeight="1">
      <c r="A7" s="40" t="n">
        <v>2</v>
      </c>
      <c r="B7" s="34">
        <f>ROUNDUP(A7/7,0)</f>
        <v/>
      </c>
      <c r="C7" s="41" t="n"/>
      <c r="D7" s="41" t="n"/>
      <c r="E7" s="41" t="n"/>
      <c r="F7" s="41" t="n"/>
      <c r="G7" s="41" t="n"/>
      <c r="H7" s="41" t="n"/>
      <c r="I7" s="42" t="n"/>
      <c r="J7" s="42" t="n"/>
      <c r="K7" s="42" t="n"/>
      <c r="L7" s="42" t="n"/>
      <c r="M7" s="42" t="n"/>
      <c r="N7" s="42" t="n"/>
      <c r="O7" s="41" t="n"/>
      <c r="P7" s="41" t="n"/>
      <c r="Q7" s="41" t="n"/>
      <c r="R7" s="41" t="n"/>
      <c r="S7" s="41" t="n"/>
      <c r="T7" s="41" t="n"/>
    </row>
    <row r="8" ht="16" customHeight="1">
      <c r="A8" s="40" t="n">
        <v>3</v>
      </c>
      <c r="B8" s="34">
        <f>ROUNDUP(A8/7,0)</f>
        <v/>
      </c>
      <c r="C8" s="41" t="n"/>
      <c r="D8" s="41" t="n"/>
      <c r="E8" s="41" t="n"/>
      <c r="F8" s="41" t="n"/>
      <c r="G8" s="41" t="n"/>
      <c r="H8" s="41" t="n"/>
      <c r="I8" s="42" t="n"/>
      <c r="J8" s="42" t="n"/>
      <c r="K8" s="42" t="n"/>
      <c r="L8" s="42" t="n"/>
      <c r="M8" s="42" t="n"/>
      <c r="N8" s="42" t="n"/>
      <c r="O8" s="41" t="n"/>
      <c r="P8" s="41" t="n"/>
      <c r="Q8" s="41" t="n"/>
      <c r="R8" s="41" t="n"/>
      <c r="S8" s="41" t="n"/>
      <c r="T8" s="41" t="n"/>
    </row>
    <row r="9" ht="16" customHeight="1">
      <c r="A9" s="40" t="n">
        <v>4</v>
      </c>
      <c r="B9" s="34">
        <f>ROUNDUP(A9/7,0)</f>
        <v/>
      </c>
      <c r="C9" s="41" t="n"/>
      <c r="D9" s="41" t="n"/>
      <c r="E9" s="41" t="n"/>
      <c r="F9" s="41" t="n"/>
      <c r="G9" s="41" t="n"/>
      <c r="H9" s="41" t="n"/>
      <c r="I9" s="42" t="n"/>
      <c r="J9" s="42" t="n"/>
      <c r="K9" s="42" t="n"/>
      <c r="L9" s="42" t="n"/>
      <c r="M9" s="42" t="n"/>
      <c r="N9" s="42" t="n"/>
      <c r="O9" s="41" t="n"/>
      <c r="P9" s="41" t="n"/>
      <c r="Q9" s="41" t="n"/>
      <c r="R9" s="41" t="n"/>
      <c r="S9" s="41" t="n"/>
      <c r="T9" s="41" t="n"/>
    </row>
    <row r="10" ht="16" customHeight="1">
      <c r="A10" s="40" t="n">
        <v>5</v>
      </c>
      <c r="B10" s="34">
        <f>ROUNDUP(A10/7,0)</f>
        <v/>
      </c>
      <c r="C10" s="41" t="n"/>
      <c r="D10" s="41" t="n"/>
      <c r="E10" s="41" t="n"/>
      <c r="F10" s="41" t="n"/>
      <c r="G10" s="41" t="n"/>
      <c r="H10" s="41" t="n"/>
      <c r="I10" s="42" t="n"/>
      <c r="J10" s="42" t="n"/>
      <c r="K10" s="42" t="n"/>
      <c r="L10" s="42" t="n"/>
      <c r="M10" s="42" t="n"/>
      <c r="N10" s="42" t="n"/>
      <c r="O10" s="41" t="n"/>
      <c r="P10" s="41" t="n"/>
      <c r="Q10" s="41" t="n"/>
      <c r="R10" s="41" t="n"/>
      <c r="S10" s="41" t="n"/>
      <c r="T10" s="41" t="n"/>
    </row>
    <row r="11" ht="16" customHeight="1">
      <c r="A11" s="40" t="n">
        <v>6</v>
      </c>
      <c r="B11" s="34">
        <f>ROUNDUP(A11/7,0)</f>
        <v/>
      </c>
      <c r="C11" s="41" t="n"/>
      <c r="D11" s="41" t="n"/>
      <c r="E11" s="41" t="n"/>
      <c r="F11" s="41" t="n"/>
      <c r="G11" s="41" t="n"/>
      <c r="H11" s="41" t="n"/>
      <c r="I11" s="42" t="n"/>
      <c r="J11" s="42" t="n"/>
      <c r="K11" s="42" t="n"/>
      <c r="L11" s="42" t="n"/>
      <c r="M11" s="42" t="n"/>
      <c r="N11" s="42" t="n"/>
      <c r="O11" s="41" t="n"/>
      <c r="P11" s="41" t="n"/>
      <c r="Q11" s="41" t="n"/>
      <c r="R11" s="41" t="n"/>
      <c r="S11" s="41" t="n"/>
      <c r="T11" s="41" t="n"/>
    </row>
    <row r="12" ht="16" customHeight="1">
      <c r="A12" s="40" t="n">
        <v>7</v>
      </c>
      <c r="B12" s="34">
        <f>ROUNDUP(A12/7,0)</f>
        <v/>
      </c>
      <c r="C12" s="41" t="n"/>
      <c r="D12" s="41" t="n"/>
      <c r="E12" s="41" t="n"/>
      <c r="F12" s="41" t="n"/>
      <c r="G12" s="41" t="n"/>
      <c r="H12" s="41" t="n"/>
      <c r="I12" s="42" t="n"/>
      <c r="J12" s="42" t="n"/>
      <c r="K12" s="42" t="n"/>
      <c r="L12" s="42" t="n"/>
      <c r="M12" s="42" t="n"/>
      <c r="N12" s="42" t="n"/>
      <c r="O12" s="41" t="n"/>
      <c r="P12" s="41" t="n"/>
      <c r="Q12" s="41" t="n"/>
      <c r="R12" s="41" t="n"/>
      <c r="S12" s="41" t="n"/>
      <c r="T12" s="41" t="n"/>
    </row>
    <row r="13" ht="16" customHeight="1">
      <c r="A13" s="40" t="n">
        <v>8</v>
      </c>
      <c r="B13" s="34">
        <f>ROUNDUP(A13/7,0)</f>
        <v/>
      </c>
      <c r="C13" s="41" t="n"/>
      <c r="D13" s="41" t="n"/>
      <c r="E13" s="41" t="n"/>
      <c r="F13" s="41" t="n"/>
      <c r="G13" s="41" t="n"/>
      <c r="H13" s="41" t="n"/>
      <c r="I13" s="42" t="n"/>
      <c r="J13" s="42" t="n"/>
      <c r="K13" s="42" t="n"/>
      <c r="L13" s="42" t="n"/>
      <c r="M13" s="42" t="n"/>
      <c r="N13" s="42" t="n"/>
      <c r="O13" s="41" t="n"/>
      <c r="P13" s="41" t="n"/>
      <c r="Q13" s="41" t="n"/>
      <c r="R13" s="41" t="n"/>
      <c r="S13" s="41" t="n"/>
      <c r="T13" s="41" t="n"/>
    </row>
    <row r="14" ht="16" customHeight="1">
      <c r="A14" s="40" t="n">
        <v>9</v>
      </c>
      <c r="B14" s="34">
        <f>ROUNDUP(A14/7,0)</f>
        <v/>
      </c>
      <c r="C14" s="41" t="n"/>
      <c r="D14" s="41" t="n"/>
      <c r="E14" s="41" t="n"/>
      <c r="F14" s="41" t="n"/>
      <c r="G14" s="41" t="n"/>
      <c r="H14" s="41" t="n"/>
      <c r="I14" s="42" t="n"/>
      <c r="J14" s="42" t="n"/>
      <c r="K14" s="42" t="n"/>
      <c r="L14" s="42" t="n"/>
      <c r="M14" s="42" t="n"/>
      <c r="N14" s="42" t="n"/>
      <c r="O14" s="41" t="n"/>
      <c r="P14" s="41" t="n"/>
      <c r="Q14" s="41" t="n"/>
      <c r="R14" s="41" t="n"/>
      <c r="S14" s="41" t="n"/>
      <c r="T14" s="41" t="n"/>
    </row>
    <row r="15" ht="16" customHeight="1">
      <c r="A15" s="40" t="n">
        <v>10</v>
      </c>
      <c r="B15" s="34">
        <f>ROUNDUP(A15/7,0)</f>
        <v/>
      </c>
      <c r="C15" s="41" t="n"/>
      <c r="D15" s="41" t="n"/>
      <c r="E15" s="41" t="n"/>
      <c r="F15" s="41" t="n"/>
      <c r="G15" s="41" t="n"/>
      <c r="H15" s="41" t="n"/>
      <c r="I15" s="42" t="n"/>
      <c r="J15" s="42" t="n"/>
      <c r="K15" s="42" t="n"/>
      <c r="L15" s="42" t="n"/>
      <c r="M15" s="42" t="n"/>
      <c r="N15" s="42" t="n"/>
      <c r="O15" s="41" t="n"/>
      <c r="P15" s="41" t="n"/>
      <c r="Q15" s="41" t="n"/>
      <c r="R15" s="41" t="n"/>
      <c r="S15" s="41" t="n"/>
      <c r="T15" s="41" t="n"/>
    </row>
    <row r="16" ht="16" customHeight="1">
      <c r="A16" s="40" t="n">
        <v>11</v>
      </c>
      <c r="B16" s="34">
        <f>ROUNDUP(A16/7,0)</f>
        <v/>
      </c>
      <c r="C16" s="41" t="n"/>
      <c r="D16" s="41" t="n"/>
      <c r="E16" s="41" t="n"/>
      <c r="F16" s="41" t="n"/>
      <c r="G16" s="41" t="n"/>
      <c r="H16" s="41" t="n"/>
      <c r="I16" s="42" t="n"/>
      <c r="J16" s="42" t="n"/>
      <c r="K16" s="42" t="n"/>
      <c r="L16" s="42" t="n"/>
      <c r="M16" s="42" t="n"/>
      <c r="N16" s="42" t="n"/>
      <c r="O16" s="41" t="n"/>
      <c r="P16" s="41" t="n"/>
      <c r="Q16" s="41" t="n"/>
      <c r="R16" s="41" t="n"/>
      <c r="S16" s="41" t="n"/>
      <c r="T16" s="41" t="n"/>
    </row>
    <row r="17" ht="16" customHeight="1">
      <c r="A17" s="40" t="n">
        <v>12</v>
      </c>
      <c r="B17" s="34">
        <f>ROUNDUP(A17/7,0)</f>
        <v/>
      </c>
      <c r="C17" s="41" t="n"/>
      <c r="D17" s="41" t="n"/>
      <c r="E17" s="41" t="n"/>
      <c r="F17" s="41" t="n"/>
      <c r="G17" s="41" t="n"/>
      <c r="H17" s="41" t="n"/>
      <c r="I17" s="42" t="n"/>
      <c r="J17" s="42" t="n"/>
      <c r="K17" s="42" t="n"/>
      <c r="L17" s="42" t="n"/>
      <c r="M17" s="42" t="n"/>
      <c r="N17" s="42" t="n"/>
      <c r="O17" s="41" t="n"/>
      <c r="P17" s="41" t="n"/>
      <c r="Q17" s="41" t="n"/>
      <c r="R17" s="41" t="n"/>
      <c r="S17" s="41" t="n"/>
      <c r="T17" s="41" t="n"/>
    </row>
    <row r="18" ht="16" customHeight="1">
      <c r="A18" s="40" t="n">
        <v>13</v>
      </c>
      <c r="B18" s="34">
        <f>ROUNDUP(A18/7,0)</f>
        <v/>
      </c>
      <c r="C18" s="41" t="n"/>
      <c r="D18" s="41" t="n"/>
      <c r="E18" s="41" t="n"/>
      <c r="F18" s="41" t="n"/>
      <c r="G18" s="41" t="n"/>
      <c r="H18" s="41" t="n"/>
      <c r="I18" s="42" t="n"/>
      <c r="J18" s="42" t="n"/>
      <c r="K18" s="42" t="n"/>
      <c r="L18" s="42" t="n"/>
      <c r="M18" s="42" t="n"/>
      <c r="N18" s="42" t="n"/>
      <c r="O18" s="41" t="n"/>
      <c r="P18" s="41" t="n"/>
      <c r="Q18" s="41" t="n"/>
      <c r="R18" s="41" t="n"/>
      <c r="S18" s="41" t="n"/>
      <c r="T18" s="41" t="n"/>
    </row>
    <row r="19" ht="16" customHeight="1">
      <c r="A19" s="40" t="n">
        <v>14</v>
      </c>
      <c r="B19" s="34">
        <f>ROUNDUP(A19/7,0)</f>
        <v/>
      </c>
      <c r="C19" s="41" t="n"/>
      <c r="D19" s="41" t="n"/>
      <c r="E19" s="41" t="n"/>
      <c r="F19" s="41" t="n"/>
      <c r="G19" s="41" t="n"/>
      <c r="H19" s="41" t="n"/>
      <c r="I19" s="42" t="n"/>
      <c r="J19" s="42" t="n"/>
      <c r="K19" s="42" t="n"/>
      <c r="L19" s="42" t="n"/>
      <c r="M19" s="42" t="n"/>
      <c r="N19" s="42" t="n"/>
      <c r="O19" s="41" t="n"/>
      <c r="P19" s="41" t="n"/>
      <c r="Q19" s="41" t="n"/>
      <c r="R19" s="41" t="n"/>
      <c r="S19" s="41" t="n"/>
      <c r="T19" s="41" t="n"/>
    </row>
    <row r="20" ht="16" customHeight="1">
      <c r="A20" s="40" t="n">
        <v>15</v>
      </c>
      <c r="B20" s="34">
        <f>ROUNDUP(A20/7,0)</f>
        <v/>
      </c>
      <c r="C20" s="41" t="n"/>
      <c r="D20" s="41" t="n"/>
      <c r="E20" s="41" t="n"/>
      <c r="F20" s="41" t="n"/>
      <c r="G20" s="41" t="n"/>
      <c r="H20" s="41" t="n"/>
      <c r="I20" s="42" t="n"/>
      <c r="J20" s="42" t="n"/>
      <c r="K20" s="42" t="n"/>
      <c r="L20" s="42" t="n"/>
      <c r="M20" s="42" t="n"/>
      <c r="N20" s="42" t="n"/>
      <c r="O20" s="41" t="n"/>
      <c r="P20" s="41" t="n"/>
      <c r="Q20" s="41" t="n"/>
      <c r="R20" s="41" t="n"/>
      <c r="S20" s="41" t="n"/>
      <c r="T20" s="41" t="n"/>
    </row>
    <row r="21" ht="16" customHeight="1">
      <c r="A21" s="40" t="n">
        <v>16</v>
      </c>
      <c r="B21" s="34">
        <f>ROUNDUP(A21/7,0)</f>
        <v/>
      </c>
      <c r="C21" s="41" t="n"/>
      <c r="D21" s="41" t="n"/>
      <c r="E21" s="41" t="n"/>
      <c r="F21" s="41" t="n"/>
      <c r="G21" s="41" t="n"/>
      <c r="H21" s="41" t="n"/>
      <c r="I21" s="42" t="n"/>
      <c r="J21" s="42" t="n"/>
      <c r="K21" s="42" t="n"/>
      <c r="L21" s="42" t="n"/>
      <c r="M21" s="42" t="n"/>
      <c r="N21" s="42" t="n"/>
      <c r="O21" s="41" t="n"/>
      <c r="P21" s="41" t="n"/>
      <c r="Q21" s="41" t="n"/>
      <c r="R21" s="41" t="n"/>
      <c r="S21" s="41" t="n"/>
      <c r="T21" s="41" t="n"/>
    </row>
    <row r="22" ht="16" customHeight="1">
      <c r="A22" s="40" t="n">
        <v>17</v>
      </c>
      <c r="B22" s="34">
        <f>ROUNDUP(A22/7,0)</f>
        <v/>
      </c>
      <c r="C22" s="41" t="n"/>
      <c r="D22" s="41" t="n"/>
      <c r="E22" s="41" t="n"/>
      <c r="F22" s="41" t="n"/>
      <c r="G22" s="41" t="n"/>
      <c r="H22" s="41" t="n"/>
      <c r="I22" s="42" t="n"/>
      <c r="J22" s="42" t="n"/>
      <c r="K22" s="42" t="n"/>
      <c r="L22" s="42" t="n"/>
      <c r="M22" s="42" t="n"/>
      <c r="N22" s="42" t="n"/>
      <c r="O22" s="41" t="n"/>
      <c r="P22" s="41" t="n"/>
      <c r="Q22" s="41" t="n"/>
      <c r="R22" s="41" t="n"/>
      <c r="S22" s="41" t="n"/>
      <c r="T22" s="41" t="n"/>
    </row>
    <row r="23" ht="16" customHeight="1">
      <c r="A23" s="40" t="n">
        <v>18</v>
      </c>
      <c r="B23" s="34">
        <f>ROUNDUP(A23/7,0)</f>
        <v/>
      </c>
      <c r="C23" s="41" t="n"/>
      <c r="D23" s="41" t="n"/>
      <c r="E23" s="41" t="n"/>
      <c r="F23" s="41" t="n"/>
      <c r="G23" s="41" t="n"/>
      <c r="H23" s="41" t="n"/>
      <c r="I23" s="42" t="n"/>
      <c r="J23" s="42" t="n"/>
      <c r="K23" s="42" t="n"/>
      <c r="L23" s="42" t="n"/>
      <c r="M23" s="42" t="n"/>
      <c r="N23" s="42" t="n"/>
      <c r="O23" s="41" t="n"/>
      <c r="P23" s="41" t="n"/>
      <c r="Q23" s="41" t="n"/>
      <c r="R23" s="41" t="n"/>
      <c r="S23" s="41" t="n"/>
      <c r="T23" s="41" t="n"/>
    </row>
    <row r="24" ht="16" customHeight="1">
      <c r="A24" s="40" t="n">
        <v>19</v>
      </c>
      <c r="B24" s="34">
        <f>ROUNDUP(A24/7,0)</f>
        <v/>
      </c>
      <c r="C24" s="41" t="n"/>
      <c r="D24" s="41" t="n"/>
      <c r="E24" s="41" t="n"/>
      <c r="F24" s="41" t="n"/>
      <c r="G24" s="41" t="n"/>
      <c r="H24" s="41" t="n"/>
      <c r="I24" s="42" t="n"/>
      <c r="J24" s="42" t="n"/>
      <c r="K24" s="42" t="n"/>
      <c r="L24" s="42" t="n"/>
      <c r="M24" s="42" t="n"/>
      <c r="N24" s="42" t="n"/>
      <c r="O24" s="41" t="n"/>
      <c r="P24" s="41" t="n"/>
      <c r="Q24" s="41" t="n"/>
      <c r="R24" s="41" t="n"/>
      <c r="S24" s="41" t="n"/>
      <c r="T24" s="41" t="n"/>
    </row>
    <row r="25" ht="16" customHeight="1">
      <c r="A25" s="40" t="n">
        <v>20</v>
      </c>
      <c r="B25" s="34">
        <f>ROUNDUP(A25/7,0)</f>
        <v/>
      </c>
      <c r="C25" s="41" t="n"/>
      <c r="D25" s="41" t="n"/>
      <c r="E25" s="41" t="n"/>
      <c r="F25" s="41" t="n"/>
      <c r="G25" s="41" t="n"/>
      <c r="H25" s="41" t="n"/>
      <c r="I25" s="42" t="n"/>
      <c r="J25" s="42" t="n"/>
      <c r="K25" s="42" t="n"/>
      <c r="L25" s="42" t="n"/>
      <c r="M25" s="42" t="n"/>
      <c r="N25" s="42" t="n"/>
      <c r="O25" s="41" t="n"/>
      <c r="P25" s="41" t="n"/>
      <c r="Q25" s="41" t="n"/>
      <c r="R25" s="41" t="n"/>
      <c r="S25" s="41" t="n"/>
      <c r="T25" s="41" t="n"/>
    </row>
    <row r="26" ht="16" customHeight="1">
      <c r="A26" s="40" t="n">
        <v>21</v>
      </c>
      <c r="B26" s="34">
        <f>ROUNDUP(A26/7,0)</f>
        <v/>
      </c>
      <c r="C26" s="41" t="n"/>
      <c r="D26" s="41" t="n"/>
      <c r="E26" s="41" t="n"/>
      <c r="F26" s="41" t="n"/>
      <c r="G26" s="41" t="n"/>
      <c r="H26" s="41" t="n"/>
      <c r="I26" s="42" t="n"/>
      <c r="J26" s="42" t="n"/>
      <c r="K26" s="42" t="n"/>
      <c r="L26" s="42" t="n"/>
      <c r="M26" s="42" t="n"/>
      <c r="N26" s="42" t="n"/>
      <c r="O26" s="41" t="n"/>
      <c r="P26" s="41" t="n"/>
      <c r="Q26" s="41" t="n"/>
      <c r="R26" s="41" t="n"/>
      <c r="S26" s="41" t="n"/>
      <c r="T26" s="41" t="n"/>
    </row>
    <row r="27" ht="16" customHeight="1">
      <c r="A27" s="40" t="n">
        <v>22</v>
      </c>
      <c r="B27" s="34">
        <f>ROUNDUP(A27/7,0)</f>
        <v/>
      </c>
      <c r="C27" s="41" t="n"/>
      <c r="D27" s="41" t="n"/>
      <c r="E27" s="41" t="n"/>
      <c r="F27" s="41" t="n"/>
      <c r="G27" s="41" t="n"/>
      <c r="H27" s="41" t="n"/>
      <c r="I27" s="42" t="n"/>
      <c r="J27" s="42" t="n"/>
      <c r="K27" s="42" t="n"/>
      <c r="L27" s="42" t="n"/>
      <c r="M27" s="42" t="n"/>
      <c r="N27" s="42" t="n"/>
      <c r="O27" s="41" t="n"/>
      <c r="P27" s="41" t="n"/>
      <c r="Q27" s="41" t="n"/>
      <c r="R27" s="41" t="n"/>
      <c r="S27" s="41" t="n"/>
      <c r="T27" s="41" t="n"/>
    </row>
    <row r="28" ht="16" customHeight="1">
      <c r="A28" s="40" t="n">
        <v>23</v>
      </c>
      <c r="B28" s="34">
        <f>ROUNDUP(A28/7,0)</f>
        <v/>
      </c>
      <c r="C28" s="41" t="n"/>
      <c r="D28" s="41" t="n"/>
      <c r="E28" s="41" t="n"/>
      <c r="F28" s="41" t="n"/>
      <c r="G28" s="41" t="n"/>
      <c r="H28" s="41" t="n"/>
      <c r="I28" s="42" t="n"/>
      <c r="J28" s="42" t="n"/>
      <c r="K28" s="42" t="n"/>
      <c r="L28" s="42" t="n"/>
      <c r="M28" s="42" t="n"/>
      <c r="N28" s="42" t="n"/>
      <c r="O28" s="41" t="n"/>
      <c r="P28" s="41" t="n"/>
      <c r="Q28" s="41" t="n"/>
      <c r="R28" s="41" t="n"/>
      <c r="S28" s="41" t="n"/>
      <c r="T28" s="41" t="n"/>
    </row>
    <row r="29" ht="16" customHeight="1">
      <c r="A29" s="40" t="n">
        <v>24</v>
      </c>
      <c r="B29" s="34">
        <f>ROUNDUP(A29/7,0)</f>
        <v/>
      </c>
      <c r="C29" s="41" t="n"/>
      <c r="D29" s="41" t="n"/>
      <c r="E29" s="41" t="n"/>
      <c r="F29" s="41" t="n"/>
      <c r="G29" s="41" t="n"/>
      <c r="H29" s="41" t="n"/>
      <c r="I29" s="42" t="n"/>
      <c r="J29" s="42" t="n"/>
      <c r="K29" s="42" t="n"/>
      <c r="L29" s="42" t="n"/>
      <c r="M29" s="42" t="n"/>
      <c r="N29" s="42" t="n"/>
      <c r="O29" s="41" t="n"/>
      <c r="P29" s="41" t="n"/>
      <c r="Q29" s="41" t="n"/>
      <c r="R29" s="41" t="n"/>
      <c r="S29" s="41" t="n"/>
      <c r="T29" s="41" t="n"/>
    </row>
    <row r="30" ht="16" customHeight="1">
      <c r="A30" s="40" t="n">
        <v>25</v>
      </c>
      <c r="B30" s="34">
        <f>ROUNDUP(A30/7,0)</f>
        <v/>
      </c>
      <c r="C30" s="41" t="n"/>
      <c r="D30" s="41" t="n"/>
      <c r="E30" s="41" t="n"/>
      <c r="F30" s="41" t="n"/>
      <c r="G30" s="41" t="n"/>
      <c r="H30" s="41" t="n"/>
      <c r="I30" s="42" t="n"/>
      <c r="J30" s="42" t="n"/>
      <c r="K30" s="42" t="n"/>
      <c r="L30" s="42" t="n"/>
      <c r="M30" s="42" t="n"/>
      <c r="N30" s="42" t="n"/>
      <c r="O30" s="41" t="n"/>
      <c r="P30" s="41" t="n"/>
      <c r="Q30" s="41" t="n"/>
      <c r="R30" s="41" t="n"/>
      <c r="S30" s="41" t="n"/>
      <c r="T30" s="41" t="n"/>
    </row>
    <row r="31" ht="16" customHeight="1">
      <c r="A31" s="40" t="n">
        <v>26</v>
      </c>
      <c r="B31" s="34">
        <f>ROUNDUP(A31/7,0)</f>
        <v/>
      </c>
      <c r="C31" s="41" t="n"/>
      <c r="D31" s="41" t="n"/>
      <c r="E31" s="41" t="n"/>
      <c r="F31" s="41" t="n"/>
      <c r="G31" s="41" t="n"/>
      <c r="H31" s="41" t="n"/>
      <c r="I31" s="42" t="n"/>
      <c r="J31" s="42" t="n"/>
      <c r="K31" s="42" t="n"/>
      <c r="L31" s="42" t="n"/>
      <c r="M31" s="42" t="n"/>
      <c r="N31" s="42" t="n"/>
      <c r="O31" s="41" t="n"/>
      <c r="P31" s="41" t="n"/>
      <c r="Q31" s="41" t="n"/>
      <c r="R31" s="41" t="n"/>
      <c r="S31" s="41" t="n"/>
      <c r="T31" s="41" t="n"/>
    </row>
    <row r="32" ht="16" customHeight="1">
      <c r="A32" s="40" t="n">
        <v>27</v>
      </c>
      <c r="B32" s="34">
        <f>ROUNDUP(A32/7,0)</f>
        <v/>
      </c>
      <c r="C32" s="41" t="n"/>
      <c r="D32" s="41" t="n"/>
      <c r="E32" s="41" t="n"/>
      <c r="F32" s="41" t="n"/>
      <c r="G32" s="41" t="n"/>
      <c r="H32" s="41" t="n"/>
      <c r="I32" s="42" t="n"/>
      <c r="J32" s="42" t="n"/>
      <c r="K32" s="42" t="n"/>
      <c r="L32" s="42" t="n"/>
      <c r="M32" s="42" t="n"/>
      <c r="N32" s="42" t="n"/>
      <c r="O32" s="41" t="n"/>
      <c r="P32" s="41" t="n"/>
      <c r="Q32" s="41" t="n"/>
      <c r="R32" s="41" t="n"/>
      <c r="S32" s="41" t="n"/>
      <c r="T32" s="41" t="n"/>
    </row>
    <row r="33" ht="16" customHeight="1">
      <c r="A33" s="40" t="n">
        <v>28</v>
      </c>
      <c r="B33" s="34">
        <f>ROUNDUP(A33/7,0)</f>
        <v/>
      </c>
      <c r="C33" s="41" t="n"/>
      <c r="D33" s="41" t="n"/>
      <c r="E33" s="41" t="n"/>
      <c r="F33" s="41" t="n"/>
      <c r="G33" s="41" t="n"/>
      <c r="H33" s="41" t="n"/>
      <c r="I33" s="42" t="n"/>
      <c r="J33" s="42" t="n"/>
      <c r="K33" s="42" t="n"/>
      <c r="L33" s="42" t="n"/>
      <c r="M33" s="42" t="n"/>
      <c r="N33" s="42" t="n"/>
      <c r="O33" s="41" t="n"/>
      <c r="P33" s="41" t="n"/>
      <c r="Q33" s="41" t="n"/>
      <c r="R33" s="41" t="n"/>
      <c r="S33" s="41" t="n"/>
      <c r="T33" s="41" t="n"/>
    </row>
    <row r="34" ht="16" customHeight="1">
      <c r="A34" s="40" t="n">
        <v>29</v>
      </c>
      <c r="B34" s="34">
        <f>ROUNDUP(A34/7,0)</f>
        <v/>
      </c>
      <c r="C34" s="41" t="n"/>
      <c r="D34" s="41" t="n"/>
      <c r="E34" s="41" t="n"/>
      <c r="F34" s="41" t="n"/>
      <c r="G34" s="41" t="n"/>
      <c r="H34" s="41" t="n"/>
      <c r="I34" s="42" t="n"/>
      <c r="J34" s="42" t="n"/>
      <c r="K34" s="42" t="n"/>
      <c r="L34" s="42" t="n"/>
      <c r="M34" s="42" t="n"/>
      <c r="N34" s="42" t="n"/>
      <c r="O34" s="41" t="n"/>
      <c r="P34" s="41" t="n"/>
      <c r="Q34" s="41" t="n"/>
      <c r="R34" s="41" t="n"/>
      <c r="S34" s="41" t="n"/>
      <c r="T34" s="41" t="n"/>
    </row>
    <row r="35" ht="16" customHeight="1">
      <c r="A35" s="40" t="n">
        <v>30</v>
      </c>
      <c r="B35" s="34">
        <f>ROUNDUP(A35/7,0)</f>
        <v/>
      </c>
      <c r="C35" s="41" t="n"/>
      <c r="D35" s="41" t="n"/>
      <c r="E35" s="41" t="n"/>
      <c r="F35" s="41" t="n"/>
      <c r="G35" s="41" t="n"/>
      <c r="H35" s="41" t="n"/>
      <c r="I35" s="42" t="n"/>
      <c r="J35" s="42" t="n"/>
      <c r="K35" s="42" t="n"/>
      <c r="L35" s="42" t="n"/>
      <c r="M35" s="42" t="n"/>
      <c r="N35" s="42" t="n"/>
      <c r="O35" s="41" t="n"/>
      <c r="P35" s="41" t="n"/>
      <c r="Q35" s="41" t="n"/>
      <c r="R35" s="41" t="n"/>
      <c r="S35" s="41" t="n"/>
      <c r="T35" s="41" t="n"/>
    </row>
    <row r="36" ht="16" customHeight="1">
      <c r="A36" s="40" t="n">
        <v>31</v>
      </c>
      <c r="B36" s="34">
        <f>ROUNDUP(A36/7,0)</f>
        <v/>
      </c>
      <c r="C36" s="41" t="n"/>
      <c r="D36" s="41" t="n"/>
      <c r="E36" s="41" t="n"/>
      <c r="F36" s="41" t="n"/>
      <c r="G36" s="41" t="n"/>
      <c r="H36" s="41" t="n"/>
      <c r="I36" s="42" t="n"/>
      <c r="J36" s="42" t="n"/>
      <c r="K36" s="42" t="n"/>
      <c r="L36" s="42" t="n"/>
      <c r="M36" s="42" t="n"/>
      <c r="N36" s="42" t="n"/>
      <c r="O36" s="41" t="n"/>
      <c r="P36" s="41" t="n"/>
      <c r="Q36" s="41" t="n"/>
      <c r="R36" s="41" t="n"/>
      <c r="S36" s="41" t="n"/>
      <c r="T36" s="41" t="n"/>
    </row>
    <row r="37">
      <c r="A37" s="30" t="inlineStr">
        <is>
          <t>TOTAL</t>
        </is>
      </c>
      <c r="B37" s="22" t="n"/>
      <c r="C37" s="43">
        <f>SUM(C6:C36)</f>
        <v/>
      </c>
      <c r="D37" s="43">
        <f>SUM(D6:D36)</f>
        <v/>
      </c>
      <c r="E37" s="43">
        <f>SUM(E6:E36)</f>
        <v/>
      </c>
      <c r="F37" s="43">
        <f>SUM(F6:F36)</f>
        <v/>
      </c>
      <c r="G37" s="43">
        <f>SUM(G6:G36)</f>
        <v/>
      </c>
      <c r="H37" s="43">
        <f>SUM(H6:H36)</f>
        <v/>
      </c>
      <c r="I37" s="43">
        <f>SUM(I6:I36)</f>
        <v/>
      </c>
      <c r="J37" s="43">
        <f>SUM(J6:J36)</f>
        <v/>
      </c>
      <c r="K37" s="43">
        <f>SUM(K6:K36)</f>
        <v/>
      </c>
      <c r="L37" s="43">
        <f>SUM(L6:L36)</f>
        <v/>
      </c>
      <c r="M37" s="43">
        <f>SUM(M6:M36)</f>
        <v/>
      </c>
      <c r="N37" s="43">
        <f>SUM(N6:N36)</f>
        <v/>
      </c>
      <c r="O37" s="43">
        <f>SUM(O6:O36)</f>
        <v/>
      </c>
      <c r="P37" s="43">
        <f>SUM(P6:P36)</f>
        <v/>
      </c>
      <c r="Q37" s="43">
        <f>SUM(Q6:Q36)</f>
        <v/>
      </c>
      <c r="R37" s="43">
        <f>SUM(R6:R36)</f>
        <v/>
      </c>
      <c r="S37" s="43">
        <f>SUM(S6:S36)</f>
        <v/>
      </c>
      <c r="T37" s="43">
        <f>SUM(T6:T36)</f>
        <v/>
      </c>
    </row>
    <row r="38">
      <c r="A38" s="44" t="inlineStr">
        <is>
          <t>média/dia ativo</t>
        </is>
      </c>
      <c r="B38" s="10" t="n"/>
      <c r="C38" s="45">
        <f>IFERROR(ROUND(SUM(C6:C36)/MAX(COUNTIF(C6:C36,"&gt;0"),1),1),0)</f>
        <v/>
      </c>
      <c r="D38" s="45">
        <f>IFERROR(ROUND(SUM(D6:D36)/MAX(COUNTIF(C6:C36,"&gt;0"),1),1),0)</f>
        <v/>
      </c>
      <c r="E38" s="45">
        <f>IFERROR(ROUND(SUM(E6:E36)/MAX(COUNTIF(C6:C36,"&gt;0"),1),1),0)</f>
        <v/>
      </c>
      <c r="F38" s="45">
        <f>IFERROR(ROUND(SUM(F6:F36)/MAX(COUNTIF(C6:C36,"&gt;0"),1),1),0)</f>
        <v/>
      </c>
      <c r="G38" s="45">
        <f>IFERROR(ROUND(SUM(G6:G36)/MAX(COUNTIF(C6:C36,"&gt;0"),1),1),0)</f>
        <v/>
      </c>
      <c r="H38" s="45">
        <f>IFERROR(ROUND(SUM(H6:H36)/MAX(COUNTIF(C6:C36,"&gt;0"),1),1),0)</f>
        <v/>
      </c>
      <c r="I38" s="45">
        <f>IFERROR(ROUND(SUM(I6:I36)/MAX(COUNTIF(I6:I36,"&gt;0"),1),1),0)</f>
        <v/>
      </c>
      <c r="J38" s="45">
        <f>IFERROR(ROUND(SUM(J6:J36)/MAX(COUNTIF(I6:I36,"&gt;0"),1),1),0)</f>
        <v/>
      </c>
      <c r="K38" s="45">
        <f>IFERROR(ROUND(SUM(K6:K36)/MAX(COUNTIF(I6:I36,"&gt;0"),1),1),0)</f>
        <v/>
      </c>
      <c r="L38" s="45">
        <f>IFERROR(ROUND(SUM(L6:L36)/MAX(COUNTIF(I6:I36,"&gt;0"),1),1),0)</f>
        <v/>
      </c>
      <c r="M38" s="45">
        <f>IFERROR(ROUND(SUM(M6:M36)/MAX(COUNTIF(I6:I36,"&gt;0"),1),1),0)</f>
        <v/>
      </c>
      <c r="N38" s="45">
        <f>IFERROR(ROUND(SUM(N6:N36)/MAX(COUNTIF(I6:I36,"&gt;0"),1),1),0)</f>
        <v/>
      </c>
      <c r="O38" s="45">
        <f>IFERROR(ROUND(SUM(O6:O36)/MAX(COUNTIF(O6:O36,"&gt;0"),1),1),0)</f>
        <v/>
      </c>
      <c r="P38" s="45">
        <f>IFERROR(ROUND(SUM(P6:P36)/MAX(COUNTIF(O6:O36,"&gt;0"),1),1),0)</f>
        <v/>
      </c>
      <c r="Q38" s="45">
        <f>IFERROR(ROUND(SUM(Q6:Q36)/MAX(COUNTIF(O6:O36,"&gt;0"),1),1),0)</f>
        <v/>
      </c>
      <c r="R38" s="45">
        <f>IFERROR(ROUND(SUM(R6:R36)/MAX(COUNTIF(O6:O36,"&gt;0"),1),1),0)</f>
        <v/>
      </c>
      <c r="S38" s="45">
        <f>IFERROR(ROUND(SUM(S6:S36)/MAX(COUNTIF(O6:O36,"&gt;0"),1),1),0)</f>
        <v/>
      </c>
      <c r="T38" s="45">
        <f>IFERROR(ROUND(SUM(T6:T36)/MAX(COUNTIF(O6:O36,"&gt;0"),1),1),0)</f>
        <v/>
      </c>
    </row>
  </sheetData>
  <mergeCells count="8">
    <mergeCell ref="A1:T1"/>
    <mergeCell ref="A38:B38"/>
    <mergeCell ref="B4:B5"/>
    <mergeCell ref="A4:A5"/>
    <mergeCell ref="O4:T4"/>
    <mergeCell ref="C4:H4"/>
    <mergeCell ref="A2:T2"/>
    <mergeCell ref="I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2026-07-05T17:12:49Z</dcterms:created>
  <dcterms:modified xmlns:dcterms="http://purl.org/dc/terms/" xmlns:xsi="http://www.w3.org/2001/XMLSchema-instance" xsi:type="dcterms:W3CDTF">2026-07-05T17:12:49Z</dcterms:modified>
</cp:coreProperties>
</file>