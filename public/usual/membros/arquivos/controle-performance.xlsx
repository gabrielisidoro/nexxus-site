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ce por aqui" sheetId="1" state="visible" r:id="rId1"/>
    <sheet xmlns:r="http://schemas.openxmlformats.org/officeDocument/2006/relationships" name="Dashboard Funil" sheetId="2" state="visible" r:id="rId2"/>
    <sheet xmlns:r="http://schemas.openxmlformats.org/officeDocument/2006/relationships" name="Diário Outbound" sheetId="3" state="visible" r:id="rId3"/>
    <sheet xmlns:r="http://schemas.openxmlformats.org/officeDocument/2006/relationships" name="Diário Inb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R$ #,##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6B6B72"/>
      <sz val="9"/>
    </font>
    <font>
      <name val="Arial"/>
      <b val="1"/>
      <color rgb="00E8430F"/>
      <sz val="10"/>
    </font>
    <font>
      <name val="Arial"/>
      <b val="1"/>
      <color rgb="00E8430F"/>
      <sz val="11"/>
    </font>
    <font>
      <name val="Arial"/>
      <color rgb="002E2E33"/>
      <sz val="10"/>
    </font>
    <font>
      <name val="Arial"/>
      <b val="1"/>
      <color rgb="002E2E33"/>
      <sz val="10"/>
    </font>
    <font>
      <name val="Arial"/>
      <color rgb="006B6B72"/>
      <sz val="8"/>
    </font>
    <font>
      <name val="Arial"/>
      <b val="1"/>
      <color rgb="00FFFFFF"/>
      <sz val="9"/>
    </font>
    <font>
      <name val="Arial"/>
      <color rgb="006B6B72"/>
      <sz val="10"/>
    </font>
    <font>
      <name val="Arial"/>
      <b val="1"/>
      <color rgb="00FFFFFF"/>
      <sz val="10"/>
    </font>
    <font>
      <name val="Arial"/>
      <b val="1"/>
      <color rgb="002E2E33"/>
      <sz val="8"/>
    </font>
    <font>
      <name val="Arial"/>
      <b val="1"/>
      <color rgb="002E2E33"/>
      <sz val="9.5"/>
    </font>
    <font>
      <name val="Arial"/>
      <b val="1"/>
      <color rgb="001F4E79"/>
      <sz val="10"/>
    </font>
    <font>
      <name val="Arial"/>
      <b val="1"/>
      <color rgb="002E2E33"/>
      <sz val="9"/>
    </font>
    <font>
      <name val="Arial"/>
      <color rgb="006B6B72"/>
      <sz val="8.5"/>
    </font>
    <font>
      <name val="Arial"/>
      <b val="1"/>
      <color rgb="00FFFFFF"/>
      <sz val="9.5"/>
    </font>
  </fonts>
  <fills count="6">
    <fill>
      <patternFill/>
    </fill>
    <fill>
      <patternFill patternType="gray125"/>
    </fill>
    <fill>
      <patternFill patternType="solid">
        <fgColor rgb="00FB5A2D"/>
      </patternFill>
    </fill>
    <fill>
      <patternFill patternType="solid">
        <fgColor rgb="00FFE7DA"/>
      </patternFill>
    </fill>
    <fill>
      <patternFill patternType="solid">
        <fgColor rgb="002E2E33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D9D7D3"/>
      </left>
      <right style="thin">
        <color rgb="00D9D7D3"/>
      </right>
      <top style="thin">
        <color rgb="00D9D7D3"/>
      </top>
      <bottom style="thin">
        <color rgb="00D9D7D3"/>
      </bottom>
    </border>
    <border>
      <left/>
      <right/>
      <top style="thin">
        <color rgb="00D9D7D3"/>
      </top>
      <bottom/>
      <diagonal/>
    </border>
    <border>
      <left/>
      <right style="thin">
        <color rgb="00D9D7D3"/>
      </right>
      <top style="thin">
        <color rgb="00D9D7D3"/>
      </top>
      <bottom/>
      <diagonal/>
    </border>
    <border>
      <left/>
      <right style="thin">
        <color rgb="00D9D7D3"/>
      </right>
      <top style="thin">
        <color rgb="00D9D7D3"/>
      </top>
      <bottom style="thin">
        <color rgb="00D9D7D3"/>
      </bottom>
      <diagonal/>
    </border>
    <border>
      <left/>
      <right/>
      <top style="thin">
        <color rgb="00D9D7D3"/>
      </top>
      <bottom style="thin">
        <color rgb="00D9D7D3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wrapText="1" indent="1"/>
    </xf>
    <xf numFmtId="0" fontId="8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 indent="1"/>
    </xf>
    <xf numFmtId="3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13" fillId="5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 wrapText="1" indent="1"/>
    </xf>
    <xf numFmtId="165" fontId="3" fillId="0" borderId="1" applyAlignment="1" pivotButton="0" quotePrefix="0" xfId="0">
      <alignment horizontal="center" vertical="center"/>
    </xf>
    <xf numFmtId="165" fontId="13" fillId="5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left" vertical="center" wrapText="1" indent="1"/>
    </xf>
    <xf numFmtId="10" fontId="3" fillId="0" borderId="1" applyAlignment="1" pivotButton="0" quotePrefix="0" xfId="0">
      <alignment horizontal="center" vertical="center"/>
    </xf>
    <xf numFmtId="10" fontId="13" fillId="5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166" fontId="13" fillId="5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 indent="1"/>
    </xf>
    <xf numFmtId="166" fontId="3" fillId="0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3" fontId="6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B7E1CD"/>
        </patternFill>
      </fill>
    </dxf>
    <dxf>
      <fill>
        <patternFill patternType="solid">
          <f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Controle de Performance Comercial · Usual Digital</t>
        </is>
      </c>
    </row>
    <row r="2" ht="16" customHeight="1">
      <c r="A2" s="2" t="inlineStr">
        <is>
          <t>Lance os números do dia e o funil compara você com o padrão de mercado, apontando onde atacar.</t>
        </is>
      </c>
    </row>
    <row r="4" ht="20" customHeight="1">
      <c r="A4" s="3" t="inlineStr">
        <is>
          <t>COMO USAR</t>
        </is>
      </c>
    </row>
    <row r="6" ht="30" customHeight="1">
      <c r="A6" s="4" t="inlineStr">
        <is>
          <t>1.</t>
        </is>
      </c>
      <c r="B6" s="5" t="inlineStr">
        <is>
          <t>No Google Sheets: Arquivo &gt; Fazer uma cópia. Use uma planilha por mês (duplique a cada mês).</t>
        </is>
      </c>
    </row>
    <row r="7" ht="30" customHeight="1">
      <c r="A7" s="4" t="inlineStr">
        <is>
          <t>2.</t>
        </is>
      </c>
      <c r="B7" s="5" t="inlineStr">
        <is>
          <t>Todo dia, preencha as abas Diário Outbound e Diário Inbound com os números do dia. Só isso.</t>
        </is>
      </c>
    </row>
    <row r="8" ht="30" customHeight="1">
      <c r="A8" s="4" t="inlineStr">
        <is>
          <t>3.</t>
        </is>
      </c>
      <c r="B8" s="5" t="inlineStr">
        <is>
          <t>O Dashboard Funil calcula suas taxas e compara com o padrão de mercado: ✔ acima, ▲ abaixo (é ali que você ataca).</t>
        </is>
      </c>
    </row>
    <row r="9" ht="30" customHeight="1">
      <c r="A9" s="4" t="inlineStr">
        <is>
          <t>4.</t>
        </is>
      </c>
      <c r="B9" s="5" t="inlineStr">
        <is>
          <t>Os padrões de mercado ficam nas células amarelas do Dashboard. Pode ajustar pra realidade do seu segmento.</t>
        </is>
      </c>
    </row>
    <row r="10" ht="30" customHeight="1">
      <c r="A10" s="4" t="inlineStr">
        <is>
          <t>5.</t>
        </is>
      </c>
      <c r="B10" s="5" t="inlineStr">
        <is>
          <t>Na reunião semanal, abra o Dashboard: a etapa com ▲ define o treino da semana.</t>
        </is>
      </c>
    </row>
    <row r="12" ht="20" customHeight="1">
      <c r="A12" s="3" t="inlineStr">
        <is>
          <t>PADRÕES USADOS (MERCADO B2B)</t>
        </is>
      </c>
    </row>
    <row r="14" ht="26" customHeight="1">
      <c r="A14" s="6" t="inlineStr">
        <is>
          <t>Outbound</t>
        </is>
      </c>
      <c r="C14" s="5" t="inlineStr">
        <is>
          <t>Conexão 10% das abordagens · Reunião 25% das conexões · Show 70% · Proposta 60% · Venda 30% das propostas.</t>
        </is>
      </c>
    </row>
    <row r="15" ht="26" customHeight="1">
      <c r="A15" s="6" t="inlineStr">
        <is>
          <t>Inbound</t>
        </is>
      </c>
      <c r="C15" s="5" t="inlineStr">
        <is>
          <t>Atendimento em até 5 min: 90% · Qualificação 40% · Reunião 50% dos qualificados · Show 70% · Proposta 60% · Venda 30%.</t>
        </is>
      </c>
    </row>
    <row r="16" ht="26" customHeight="1">
      <c r="A16" s="6" t="inlineStr">
        <is>
          <t>Atividade</t>
        </is>
      </c>
      <c r="C16" s="5" t="inlineStr">
        <is>
          <t>Outbound: 50 abordagens/dia útil por pessoa. Inbound: responder em minutos multiplica conversão.</t>
        </is>
      </c>
    </row>
    <row r="18">
      <c r="A18" s="7" t="inlineStr">
        <is>
          <t>Usual Digital · Estruturação comercial de alta performance · Por Gabriel Isidoro e Renan Paiva</t>
        </is>
      </c>
    </row>
  </sheetData>
  <mergeCells count="15">
    <mergeCell ref="A12:H12"/>
    <mergeCell ref="A4:H4"/>
    <mergeCell ref="B8:H8"/>
    <mergeCell ref="A16:B16"/>
    <mergeCell ref="C16:H16"/>
    <mergeCell ref="A15:B15"/>
    <mergeCell ref="B9:H9"/>
    <mergeCell ref="C14:H14"/>
    <mergeCell ref="A2:H2"/>
    <mergeCell ref="B6:H6"/>
    <mergeCell ref="A14:B14"/>
    <mergeCell ref="B7:H7"/>
    <mergeCell ref="A1:H1"/>
    <mergeCell ref="B10:H10"/>
    <mergeCell ref="C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0" customWidth="1" min="4" max="4"/>
    <col width="13" customWidth="1" min="5" max="5"/>
    <col width="13" customWidth="1" min="6" max="6"/>
    <col width="26" customWidth="1" min="7" max="7"/>
    <col width="26" customWidth="1" min="8" max="8"/>
  </cols>
  <sheetData>
    <row r="1" ht="30" customHeight="1">
      <c r="A1" s="1" t="inlineStr">
        <is>
          <t>Dashboard · Funil x Padrão de Mercado</t>
        </is>
      </c>
    </row>
    <row r="2" ht="16" customHeight="1">
      <c r="A2" s="2" t="inlineStr">
        <is>
          <t>Tudo automático a partir dos lançamentos diários. Amarelo = padrão editável. ▲ mostra onde atacar.</t>
        </is>
      </c>
    </row>
    <row r="4" ht="20" customHeight="1">
      <c r="A4" s="3" t="inlineStr">
        <is>
          <t>FUNIL OUTBOUND (PROSPECÇÃO ATIVA)</t>
        </is>
      </c>
    </row>
    <row r="5" ht="24" customHeight="1">
      <c r="A5" s="8" t="inlineStr">
        <is>
          <t>Etapa</t>
        </is>
      </c>
      <c r="B5" s="9" t="n"/>
      <c r="C5" s="8" t="inlineStr">
        <is>
          <t>Resultado</t>
        </is>
      </c>
      <c r="D5" s="8" t="inlineStr">
        <is>
          <t>Sua taxa</t>
        </is>
      </c>
      <c r="E5" s="10" t="inlineStr">
        <is>
          <t>Padrão de mercado</t>
        </is>
      </c>
      <c r="F5" s="8" t="inlineStr">
        <is>
          <t>Status</t>
        </is>
      </c>
      <c r="G5" s="8" t="inlineStr">
        <is>
          <t>Onde atacar se estiver abaixo</t>
        </is>
      </c>
      <c r="H5" s="9" t="n"/>
    </row>
    <row r="6" ht="24" customHeight="1">
      <c r="A6" s="11" t="inlineStr">
        <is>
          <t>Abordagens (lig + msg)</t>
        </is>
      </c>
      <c r="B6" s="9" t="n"/>
      <c r="C6" s="12">
        <f>'Diário Outbound'!C37+'Diário Outbound'!D37</f>
        <v/>
      </c>
      <c r="D6" s="13" t="inlineStr">
        <is>
          <t>—</t>
        </is>
      </c>
      <c r="E6" s="14" t="n">
        <v>1000</v>
      </c>
      <c r="F6" s="15">
        <f>IF(C6&gt;=E6,"✔ no padrão","▲ atacar aqui")</f>
        <v/>
      </c>
      <c r="G6" s="16" t="inlineStr">
        <is>
          <t>Volume é a base: 50 abordagens por dia útil, por pessoa.</t>
        </is>
      </c>
      <c r="H6" s="9" t="n"/>
    </row>
    <row r="7" ht="24" customHeight="1">
      <c r="A7" s="11" t="inlineStr">
        <is>
          <t>Conexões / respostas</t>
        </is>
      </c>
      <c r="B7" s="9" t="n"/>
      <c r="C7" s="12">
        <f>'Diário Outbound'!E37</f>
        <v/>
      </c>
      <c r="D7" s="17">
        <f>IFERROR(C7/C6,0)</f>
        <v/>
      </c>
      <c r="E7" s="18" t="n">
        <v>0.1</v>
      </c>
      <c r="F7" s="15">
        <f>IF(D7&gt;=E7,"✔ no padrão","▲ atacar aqui")</f>
        <v/>
      </c>
      <c r="G7" s="16" t="inlineStr">
        <is>
          <t>Lista fraca ou gancho fraco: revise o ICP e a primeira mensagem.</t>
        </is>
      </c>
      <c r="H7" s="9" t="n"/>
    </row>
    <row r="8" ht="24" customHeight="1">
      <c r="A8" s="11" t="inlineStr">
        <is>
          <t>Reuniões marcadas</t>
        </is>
      </c>
      <c r="B8" s="9" t="n"/>
      <c r="C8" s="12">
        <f>'Diário Outbound'!F37</f>
        <v/>
      </c>
      <c r="D8" s="17">
        <f>IFERROR(C8/C7,0)</f>
        <v/>
      </c>
      <c r="E8" s="18" t="n">
        <v>0.25</v>
      </c>
      <c r="F8" s="15">
        <f>IF(D8&gt;=E8,"✔ no padrão","▲ atacar aqui")</f>
        <v/>
      </c>
      <c r="G8" s="16" t="inlineStr">
        <is>
          <t>Venda a reunião, não o produto. Ajuste o pitch e rode a cadência D1-D12.</t>
        </is>
      </c>
      <c r="H8" s="9" t="n"/>
    </row>
    <row r="9" ht="24" customHeight="1">
      <c r="A9" s="11" t="inlineStr">
        <is>
          <t>Reuniões realizadas (show)</t>
        </is>
      </c>
      <c r="B9" s="9" t="n"/>
      <c r="C9" s="12">
        <f>'Diário Outbound'!G37</f>
        <v/>
      </c>
      <c r="D9" s="17">
        <f>IFERROR(C9/C8,0)</f>
        <v/>
      </c>
      <c r="E9" s="18" t="n">
        <v>0.7</v>
      </c>
      <c r="F9" s="15">
        <f>IF(D9&gt;=E9,"✔ no padrão","▲ atacar aqui")</f>
        <v/>
      </c>
      <c r="G9" s="16" t="inlineStr">
        <is>
          <t>Anti no-show: confirmação na véspera e lembrete 1h antes.</t>
        </is>
      </c>
      <c r="H9" s="9" t="n"/>
    </row>
    <row r="10" ht="24" customHeight="1">
      <c r="A10" s="11" t="inlineStr">
        <is>
          <t>Propostas</t>
        </is>
      </c>
      <c r="B10" s="9" t="n"/>
      <c r="C10" s="12">
        <f>'Diário Outbound'!I37</f>
        <v/>
      </c>
      <c r="D10" s="17">
        <f>IFERROR(C10/C9,0)</f>
        <v/>
      </c>
      <c r="E10" s="18" t="n">
        <v>0.6</v>
      </c>
      <c r="F10" s="15">
        <f>IF(D10&gt;=E10,"✔ no padrão","▲ atacar aqui")</f>
        <v/>
      </c>
      <c r="G10" s="16" t="inlineStr">
        <is>
          <t>Call sem proposta = diagnóstico raso. Use o SPIN e feche o próximo passo.</t>
        </is>
      </c>
      <c r="H10" s="9" t="n"/>
    </row>
    <row r="11" ht="24" customHeight="1">
      <c r="A11" s="11" t="inlineStr">
        <is>
          <t>Vendas</t>
        </is>
      </c>
      <c r="B11" s="9" t="n"/>
      <c r="C11" s="12">
        <f>'Diário Outbound'!J37</f>
        <v/>
      </c>
      <c r="D11" s="17">
        <f>IFERROR(C11/C10,0)</f>
        <v/>
      </c>
      <c r="E11" s="18" t="n">
        <v>0.3</v>
      </c>
      <c r="F11" s="15">
        <f>IF(D11&gt;=E11,"✔ no padrão","▲ atacar aqui")</f>
        <v/>
      </c>
      <c r="G11" s="16" t="inlineStr">
        <is>
          <t>Ancoragem, urgência e quebra de objeções. Registre o que travou.</t>
        </is>
      </c>
      <c r="H11" s="9" t="n"/>
    </row>
    <row r="12" ht="22" customHeight="1">
      <c r="A12" s="19" t="inlineStr">
        <is>
          <t>CONVERSÃO GERAL (venda ÷ abordagem)</t>
        </is>
      </c>
      <c r="B12" s="9" t="n"/>
      <c r="C12" s="13" t="inlineStr">
        <is>
          <t>—</t>
        </is>
      </c>
      <c r="D12" s="20">
        <f>IFERROR(C11/C6,0)</f>
        <v/>
      </c>
      <c r="E12" s="21">
        <f>PRODUCT(E7:E11)</f>
        <v/>
      </c>
      <c r="F12" s="15">
        <f>IF(D12&gt;=E12,"✔ no padrão","▲ atacar aqui")</f>
        <v/>
      </c>
      <c r="G12" s="16" t="inlineStr">
        <is>
          <t>Conversão de ponta a ponta do funil.</t>
        </is>
      </c>
      <c r="H12" s="9" t="n"/>
    </row>
    <row r="14" ht="20" customHeight="1">
      <c r="A14" s="3" t="inlineStr">
        <is>
          <t>FUNIL INBOUND (LEADS QUE CHEGAM)</t>
        </is>
      </c>
    </row>
    <row r="15" ht="24" customHeight="1">
      <c r="A15" s="8" t="inlineStr">
        <is>
          <t>Etapa</t>
        </is>
      </c>
      <c r="B15" s="9" t="n"/>
      <c r="C15" s="8" t="inlineStr">
        <is>
          <t>Resultado</t>
        </is>
      </c>
      <c r="D15" s="8" t="inlineStr">
        <is>
          <t>Sua taxa</t>
        </is>
      </c>
      <c r="E15" s="10" t="inlineStr">
        <is>
          <t>Padrão de mercado</t>
        </is>
      </c>
      <c r="F15" s="8" t="inlineStr">
        <is>
          <t>Status</t>
        </is>
      </c>
      <c r="G15" s="8" t="inlineStr">
        <is>
          <t>Onde atacar se estiver abaixo</t>
        </is>
      </c>
      <c r="H15" s="9" t="n"/>
    </row>
    <row r="16" ht="24" customHeight="1">
      <c r="A16" s="11" t="inlineStr">
        <is>
          <t>Leads recebidos</t>
        </is>
      </c>
      <c r="B16" s="9" t="n"/>
      <c r="C16" s="12">
        <f>'Diário Inbound'!C37</f>
        <v/>
      </c>
      <c r="D16" s="13" t="inlineStr">
        <is>
          <t>—</t>
        </is>
      </c>
      <c r="E16" s="14" t="n">
        <v>300</v>
      </c>
      <c r="F16" s="15">
        <f>IF(C16&gt;=E16,"✔ no padrão","▲ atacar aqui")</f>
        <v/>
      </c>
      <c r="G16" s="16" t="inlineStr">
        <is>
          <t>Volume de leads: tráfego, conteúdo e canais de aquisição.</t>
        </is>
      </c>
      <c r="H16" s="9" t="n"/>
    </row>
    <row r="17" ht="24" customHeight="1">
      <c r="A17" s="11" t="inlineStr">
        <is>
          <t>Atendidos em até 5 min</t>
        </is>
      </c>
      <c r="B17" s="9" t="n"/>
      <c r="C17" s="12">
        <f>'Diário Inbound'!D37</f>
        <v/>
      </c>
      <c r="D17" s="17">
        <f>IFERROR(C17/C16,0)</f>
        <v/>
      </c>
      <c r="E17" s="18" t="n">
        <v>0.9</v>
      </c>
      <c r="F17" s="15">
        <f>IF(D17&gt;=E17,"✔ no padrão","▲ atacar aqui")</f>
        <v/>
      </c>
      <c r="G17" s="16" t="inlineStr">
        <is>
          <t>Velocidade é conversão: lead frio em 30 min já esfriou.</t>
        </is>
      </c>
      <c r="H17" s="9" t="n"/>
    </row>
    <row r="18" ht="24" customHeight="1">
      <c r="A18" s="11" t="inlineStr">
        <is>
          <t>Qualificados</t>
        </is>
      </c>
      <c r="B18" s="9" t="n"/>
      <c r="C18" s="12">
        <f>'Diário Inbound'!E37</f>
        <v/>
      </c>
      <c r="D18" s="17">
        <f>IFERROR(C18/C17,0)</f>
        <v/>
      </c>
      <c r="E18" s="18" t="n">
        <v>0.4</v>
      </c>
      <c r="F18" s="15">
        <f>IF(D18&gt;=E18,"✔ no padrão","▲ atacar aqui")</f>
        <v/>
      </c>
      <c r="G18" s="16" t="inlineStr">
        <is>
          <t>Critérios claros de fit e dor. Lead ruim entope a agenda do closer.</t>
        </is>
      </c>
      <c r="H18" s="9" t="n"/>
    </row>
    <row r="19" ht="24" customHeight="1">
      <c r="A19" s="11" t="inlineStr">
        <is>
          <t>Reuniões marcadas</t>
        </is>
      </c>
      <c r="B19" s="9" t="n"/>
      <c r="C19" s="12">
        <f>'Diário Inbound'!F37</f>
        <v/>
      </c>
      <c r="D19" s="17">
        <f>IFERROR(C19/C18,0)</f>
        <v/>
      </c>
      <c r="E19" s="18" t="n">
        <v>0.5</v>
      </c>
      <c r="F19" s="15">
        <f>IF(D19&gt;=E19,"✔ no padrão","▲ atacar aqui")</f>
        <v/>
      </c>
      <c r="G19" s="16" t="inlineStr">
        <is>
          <t>Roteiro de agendamento e cadência: 80% das marcações vêm do follow-up.</t>
        </is>
      </c>
      <c r="H19" s="9" t="n"/>
    </row>
    <row r="20" ht="24" customHeight="1">
      <c r="A20" s="11" t="inlineStr">
        <is>
          <t>Reuniões realizadas (show)</t>
        </is>
      </c>
      <c r="B20" s="9" t="n"/>
      <c r="C20" s="12">
        <f>'Diário Inbound'!G37</f>
        <v/>
      </c>
      <c r="D20" s="17">
        <f>IFERROR(C20/C19,0)</f>
        <v/>
      </c>
      <c r="E20" s="18" t="n">
        <v>0.7</v>
      </c>
      <c r="F20" s="15">
        <f>IF(D20&gt;=E20,"✔ no padrão","▲ atacar aqui")</f>
        <v/>
      </c>
      <c r="G20" s="16" t="inlineStr">
        <is>
          <t>Anti no-show: confirmação na véspera e lembrete 1h antes.</t>
        </is>
      </c>
      <c r="H20" s="9" t="n"/>
    </row>
    <row r="21" ht="24" customHeight="1">
      <c r="A21" s="11" t="inlineStr">
        <is>
          <t>Propostas</t>
        </is>
      </c>
      <c r="B21" s="9" t="n"/>
      <c r="C21" s="12">
        <f>'Diário Inbound'!I37</f>
        <v/>
      </c>
      <c r="D21" s="17">
        <f>IFERROR(C21/C20,0)</f>
        <v/>
      </c>
      <c r="E21" s="18" t="n">
        <v>0.6</v>
      </c>
      <c r="F21" s="15">
        <f>IF(D21&gt;=E21,"✔ no padrão","▲ atacar aqui")</f>
        <v/>
      </c>
      <c r="G21" s="16" t="inlineStr">
        <is>
          <t>Call sem proposta = diagnóstico raso. Use o SPIN e feche o próximo passo.</t>
        </is>
      </c>
      <c r="H21" s="9" t="n"/>
    </row>
    <row r="22" ht="24" customHeight="1">
      <c r="A22" s="11" t="inlineStr">
        <is>
          <t>Vendas</t>
        </is>
      </c>
      <c r="B22" s="9" t="n"/>
      <c r="C22" s="12">
        <f>'Diário Inbound'!J37</f>
        <v/>
      </c>
      <c r="D22" s="17">
        <f>IFERROR(C22/C21,0)</f>
        <v/>
      </c>
      <c r="E22" s="18" t="n">
        <v>0.3</v>
      </c>
      <c r="F22" s="15">
        <f>IF(D22&gt;=E22,"✔ no padrão","▲ atacar aqui")</f>
        <v/>
      </c>
      <c r="G22" s="16" t="inlineStr">
        <is>
          <t>Ancoragem, urgência e quebra de objeções. Registre o que travou.</t>
        </is>
      </c>
      <c r="H22" s="9" t="n"/>
    </row>
    <row r="23" ht="22" customHeight="1">
      <c r="A23" s="19" t="inlineStr">
        <is>
          <t>CONVERSÃO GERAL (venda ÷ lead)</t>
        </is>
      </c>
      <c r="B23" s="9" t="n"/>
      <c r="C23" s="13" t="inlineStr">
        <is>
          <t>—</t>
        </is>
      </c>
      <c r="D23" s="20">
        <f>IFERROR(C22/C16,0)</f>
        <v/>
      </c>
      <c r="E23" s="21">
        <f>PRODUCT(E17:E22)</f>
        <v/>
      </c>
      <c r="F23" s="15">
        <f>IF(D23&gt;=E23,"✔ no padrão","▲ atacar aqui")</f>
        <v/>
      </c>
      <c r="G23" s="16" t="inlineStr">
        <is>
          <t>Conversão de ponta a ponta do funil.</t>
        </is>
      </c>
      <c r="H23" s="9" t="n"/>
    </row>
    <row r="25" ht="20" customHeight="1">
      <c r="A25" s="3" t="inlineStr">
        <is>
          <t>RECEITA DO MÊS</t>
        </is>
      </c>
    </row>
    <row r="26">
      <c r="A26" s="8" t="inlineStr">
        <is>
          <t>Indicador</t>
        </is>
      </c>
      <c r="B26" s="9" t="n"/>
      <c r="C26" s="8" t="inlineStr">
        <is>
          <t>Valor</t>
        </is>
      </c>
      <c r="D26" s="8" t="inlineStr"/>
      <c r="E26" s="22" t="n"/>
      <c r="F26" s="22" t="n"/>
      <c r="G26" s="22" t="n"/>
      <c r="H26" s="23" t="n"/>
    </row>
    <row r="27">
      <c r="A27" s="11" t="inlineStr">
        <is>
          <t>Ticket médio (edite)</t>
        </is>
      </c>
      <c r="B27" s="9" t="n"/>
      <c r="C27" s="24" t="n">
        <v>5000</v>
      </c>
      <c r="D27" s="16" t="inlineStr">
        <is>
          <t>Valor médio de cada venda.</t>
        </is>
      </c>
      <c r="E27" s="9" t="n"/>
      <c r="F27" s="9" t="n"/>
      <c r="G27" s="9" t="n"/>
      <c r="H27" s="9" t="n"/>
    </row>
    <row r="28">
      <c r="A28" s="11" t="inlineStr">
        <is>
          <t>Vendas no mês (out + in)</t>
        </is>
      </c>
      <c r="B28" s="9" t="n"/>
      <c r="C28" s="12">
        <f>'Diário Outbound'!J37+'Diário Inbound'!J37</f>
        <v/>
      </c>
      <c r="D28" s="16" t="inlineStr">
        <is>
          <t>Somatório automático dos dois funis.</t>
        </is>
      </c>
      <c r="E28" s="9" t="n"/>
      <c r="F28" s="9" t="n"/>
      <c r="G28" s="9" t="n"/>
      <c r="H28" s="9" t="n"/>
    </row>
    <row r="29" ht="22" customHeight="1">
      <c r="A29" s="25" t="inlineStr">
        <is>
          <t>RECEITA ESTIMADA</t>
        </is>
      </c>
      <c r="B29" s="9" t="n"/>
      <c r="C29" s="26">
        <f>C27*C28</f>
        <v/>
      </c>
      <c r="D29" s="16" t="inlineStr">
        <is>
          <t>Ticket médio x vendas do mês.</t>
        </is>
      </c>
      <c r="E29" s="9" t="n"/>
      <c r="F29" s="9" t="n"/>
      <c r="G29" s="9" t="n"/>
      <c r="H29" s="9" t="n"/>
    </row>
  </sheetData>
  <mergeCells count="47">
    <mergeCell ref="G21:H21"/>
    <mergeCell ref="G12:H12"/>
    <mergeCell ref="A15:B15"/>
    <mergeCell ref="A11:B11"/>
    <mergeCell ref="G11:H11"/>
    <mergeCell ref="G23:H23"/>
    <mergeCell ref="A1:H1"/>
    <mergeCell ref="G8:H8"/>
    <mergeCell ref="A6:B6"/>
    <mergeCell ref="G17:H17"/>
    <mergeCell ref="A16:B16"/>
    <mergeCell ref="A7:B7"/>
    <mergeCell ref="G7:H7"/>
    <mergeCell ref="A25:H25"/>
    <mergeCell ref="G10:H10"/>
    <mergeCell ref="G19:H19"/>
    <mergeCell ref="D27:H27"/>
    <mergeCell ref="G6:H6"/>
    <mergeCell ref="A18:B18"/>
    <mergeCell ref="G18:H18"/>
    <mergeCell ref="A27:B27"/>
    <mergeCell ref="A12:B12"/>
    <mergeCell ref="A26:B26"/>
    <mergeCell ref="A21:B21"/>
    <mergeCell ref="G15:H15"/>
    <mergeCell ref="A2:H2"/>
    <mergeCell ref="A5:B5"/>
    <mergeCell ref="G5:H5"/>
    <mergeCell ref="D28:H28"/>
    <mergeCell ref="A14:H14"/>
    <mergeCell ref="A17:B17"/>
    <mergeCell ref="A23:B23"/>
    <mergeCell ref="A8:B8"/>
    <mergeCell ref="A22:B22"/>
    <mergeCell ref="A4:H4"/>
    <mergeCell ref="A20:B20"/>
    <mergeCell ref="G20:H20"/>
    <mergeCell ref="A29:B29"/>
    <mergeCell ref="G16:H16"/>
    <mergeCell ref="A19:B19"/>
    <mergeCell ref="A10:B10"/>
    <mergeCell ref="A28:B28"/>
    <mergeCell ref="D29:H29"/>
    <mergeCell ref="G22:H22"/>
    <mergeCell ref="A9:B9"/>
    <mergeCell ref="G9:H9"/>
    <mergeCell ref="D26:H26"/>
  </mergeCells>
  <conditionalFormatting sqref="F6">
    <cfRule type="expression" priority="1" dxfId="0">
      <formula>ISNUMBER(SEARCH("✔",F6))</formula>
    </cfRule>
    <cfRule type="expression" priority="2" dxfId="1">
      <formula>ISNUMBER(SEARCH("▲",F6))</formula>
    </cfRule>
  </conditionalFormatting>
  <conditionalFormatting sqref="F7">
    <cfRule type="expression" priority="3" dxfId="0">
      <formula>ISNUMBER(SEARCH("✔",F7))</formula>
    </cfRule>
    <cfRule type="expression" priority="4" dxfId="1">
      <formula>ISNUMBER(SEARCH("▲",F7))</formula>
    </cfRule>
  </conditionalFormatting>
  <conditionalFormatting sqref="F8">
    <cfRule type="expression" priority="5" dxfId="0">
      <formula>ISNUMBER(SEARCH("✔",F8))</formula>
    </cfRule>
    <cfRule type="expression" priority="6" dxfId="1">
      <formula>ISNUMBER(SEARCH("▲",F8))</formula>
    </cfRule>
  </conditionalFormatting>
  <conditionalFormatting sqref="F9">
    <cfRule type="expression" priority="7" dxfId="0">
      <formula>ISNUMBER(SEARCH("✔",F9))</formula>
    </cfRule>
    <cfRule type="expression" priority="8" dxfId="1">
      <formula>ISNUMBER(SEARCH("▲",F9))</formula>
    </cfRule>
  </conditionalFormatting>
  <conditionalFormatting sqref="F10">
    <cfRule type="expression" priority="9" dxfId="0">
      <formula>ISNUMBER(SEARCH("✔",F10))</formula>
    </cfRule>
    <cfRule type="expression" priority="10" dxfId="1">
      <formula>ISNUMBER(SEARCH("▲",F10))</formula>
    </cfRule>
  </conditionalFormatting>
  <conditionalFormatting sqref="F11">
    <cfRule type="expression" priority="11" dxfId="0">
      <formula>ISNUMBER(SEARCH("✔",F11))</formula>
    </cfRule>
    <cfRule type="expression" priority="12" dxfId="1">
      <formula>ISNUMBER(SEARCH("▲",F11))</formula>
    </cfRule>
  </conditionalFormatting>
  <conditionalFormatting sqref="F12">
    <cfRule type="expression" priority="13" dxfId="0">
      <formula>ISNUMBER(SEARCH("✔",F12))</formula>
    </cfRule>
    <cfRule type="expression" priority="14" dxfId="1">
      <formula>ISNUMBER(SEARCH("▲",F12))</formula>
    </cfRule>
  </conditionalFormatting>
  <conditionalFormatting sqref="F16">
    <cfRule type="expression" priority="15" dxfId="0">
      <formula>ISNUMBER(SEARCH("✔",F16))</formula>
    </cfRule>
    <cfRule type="expression" priority="16" dxfId="1">
      <formula>ISNUMBER(SEARCH("▲",F16))</formula>
    </cfRule>
  </conditionalFormatting>
  <conditionalFormatting sqref="F17">
    <cfRule type="expression" priority="17" dxfId="0">
      <formula>ISNUMBER(SEARCH("✔",F17))</formula>
    </cfRule>
    <cfRule type="expression" priority="18" dxfId="1">
      <formula>ISNUMBER(SEARCH("▲",F17))</formula>
    </cfRule>
  </conditionalFormatting>
  <conditionalFormatting sqref="F18">
    <cfRule type="expression" priority="19" dxfId="0">
      <formula>ISNUMBER(SEARCH("✔",F18))</formula>
    </cfRule>
    <cfRule type="expression" priority="20" dxfId="1">
      <formula>ISNUMBER(SEARCH("▲",F18))</formula>
    </cfRule>
  </conditionalFormatting>
  <conditionalFormatting sqref="F19">
    <cfRule type="expression" priority="21" dxfId="0">
      <formula>ISNUMBER(SEARCH("✔",F19))</formula>
    </cfRule>
    <cfRule type="expression" priority="22" dxfId="1">
      <formula>ISNUMBER(SEARCH("▲",F19))</formula>
    </cfRule>
  </conditionalFormatting>
  <conditionalFormatting sqref="F20">
    <cfRule type="expression" priority="23" dxfId="0">
      <formula>ISNUMBER(SEARCH("✔",F20))</formula>
    </cfRule>
    <cfRule type="expression" priority="24" dxfId="1">
      <formula>ISNUMBER(SEARCH("▲",F20))</formula>
    </cfRule>
  </conditionalFormatting>
  <conditionalFormatting sqref="F21">
    <cfRule type="expression" priority="25" dxfId="0">
      <formula>ISNUMBER(SEARCH("✔",F21))</formula>
    </cfRule>
    <cfRule type="expression" priority="26" dxfId="1">
      <formula>ISNUMBER(SEARCH("▲",F21))</formula>
    </cfRule>
  </conditionalFormatting>
  <conditionalFormatting sqref="F22">
    <cfRule type="expression" priority="27" dxfId="0">
      <formula>ISNUMBER(SEARCH("✔",F22))</formula>
    </cfRule>
    <cfRule type="expression" priority="28" dxfId="1">
      <formula>ISNUMBER(SEARCH("▲",F22))</formula>
    </cfRule>
  </conditionalFormatting>
  <conditionalFormatting sqref="F23">
    <cfRule type="expression" priority="29" dxfId="0">
      <formula>ISNUMBER(SEARCH("✔",F23))</formula>
    </cfRule>
    <cfRule type="expression" priority="30" dxfId="1">
      <formula>ISNUMBER(SEARCH("▲",F23))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0" customHeight="1">
      <c r="A1" s="1" t="inlineStr">
        <is>
          <t>Diário Outbound · lançamento do dia</t>
        </is>
      </c>
    </row>
    <row r="2" ht="16" customHeight="1">
      <c r="A2" s="2" t="inlineStr">
        <is>
          <t>Prospecção ativa: ligações, mensagens e social selling.</t>
        </is>
      </c>
    </row>
    <row r="4" ht="20" customHeight="1">
      <c r="A4" s="3" t="inlineStr">
        <is>
          <t>PREENCHA OS NÚMEROS DE CADA DIA (DEIXE EM BRANCO OS DIAS QUE NÃO HOUVE)</t>
        </is>
      </c>
    </row>
    <row r="5" ht="26" customHeight="1">
      <c r="A5" s="8" t="inlineStr">
        <is>
          <t>Dia</t>
        </is>
      </c>
      <c r="B5" s="8" t="inlineStr">
        <is>
          <t>Sem.</t>
        </is>
      </c>
      <c r="C5" s="10" t="inlineStr">
        <is>
          <t>Ligações</t>
        </is>
      </c>
      <c r="D5" s="10" t="inlineStr">
        <is>
          <t>Mensagens / Social</t>
        </is>
      </c>
      <c r="E5" s="10" t="inlineStr">
        <is>
          <t>Conexões (respostas)</t>
        </is>
      </c>
      <c r="F5" s="10" t="inlineStr">
        <is>
          <t>Reuniões marcadas</t>
        </is>
      </c>
      <c r="G5" s="10" t="inlineStr">
        <is>
          <t>Reuniões realizadas (show)</t>
        </is>
      </c>
      <c r="H5" s="10" t="inlineStr">
        <is>
          <t>No-show</t>
        </is>
      </c>
      <c r="I5" s="10" t="inlineStr">
        <is>
          <t>Propostas</t>
        </is>
      </c>
      <c r="J5" s="10" t="inlineStr">
        <is>
          <t>Vendas</t>
        </is>
      </c>
    </row>
    <row r="6" ht="16" customHeight="1">
      <c r="A6" s="27" t="n">
        <v>1</v>
      </c>
      <c r="B6" s="28">
        <f>ROUNDUP(A6/7,0)</f>
        <v/>
      </c>
      <c r="C6" s="13" t="n"/>
      <c r="D6" s="13" t="n"/>
      <c r="E6" s="13" t="n"/>
      <c r="F6" s="13" t="n"/>
      <c r="G6" s="13" t="n"/>
      <c r="H6" s="13" t="n"/>
      <c r="I6" s="13" t="n"/>
      <c r="J6" s="13" t="n"/>
    </row>
    <row r="7" ht="16" customHeight="1">
      <c r="A7" s="27" t="n">
        <v>2</v>
      </c>
      <c r="B7" s="28">
        <f>ROUNDUP(A7/7,0)</f>
        <v/>
      </c>
      <c r="C7" s="13" t="n"/>
      <c r="D7" s="13" t="n"/>
      <c r="E7" s="13" t="n"/>
      <c r="F7" s="13" t="n"/>
      <c r="G7" s="13" t="n"/>
      <c r="H7" s="13" t="n"/>
      <c r="I7" s="13" t="n"/>
      <c r="J7" s="13" t="n"/>
    </row>
    <row r="8" ht="16" customHeight="1">
      <c r="A8" s="27" t="n">
        <v>3</v>
      </c>
      <c r="B8" s="28">
        <f>ROUNDUP(A8/7,0)</f>
        <v/>
      </c>
      <c r="C8" s="13" t="n"/>
      <c r="D8" s="13" t="n"/>
      <c r="E8" s="13" t="n"/>
      <c r="F8" s="13" t="n"/>
      <c r="G8" s="13" t="n"/>
      <c r="H8" s="13" t="n"/>
      <c r="I8" s="13" t="n"/>
      <c r="J8" s="13" t="n"/>
    </row>
    <row r="9" ht="16" customHeight="1">
      <c r="A9" s="27" t="n">
        <v>4</v>
      </c>
      <c r="B9" s="28">
        <f>ROUNDUP(A9/7,0)</f>
        <v/>
      </c>
      <c r="C9" s="13" t="n"/>
      <c r="D9" s="13" t="n"/>
      <c r="E9" s="13" t="n"/>
      <c r="F9" s="13" t="n"/>
      <c r="G9" s="13" t="n"/>
      <c r="H9" s="13" t="n"/>
      <c r="I9" s="13" t="n"/>
      <c r="J9" s="13" t="n"/>
    </row>
    <row r="10" ht="16" customHeight="1">
      <c r="A10" s="27" t="n">
        <v>5</v>
      </c>
      <c r="B10" s="28">
        <f>ROUNDUP(A10/7,0)</f>
        <v/>
      </c>
      <c r="C10" s="13" t="n"/>
      <c r="D10" s="13" t="n"/>
      <c r="E10" s="13" t="n"/>
      <c r="F10" s="13" t="n"/>
      <c r="G10" s="13" t="n"/>
      <c r="H10" s="13" t="n"/>
      <c r="I10" s="13" t="n"/>
      <c r="J10" s="13" t="n"/>
    </row>
    <row r="11" ht="16" customHeight="1">
      <c r="A11" s="27" t="n">
        <v>6</v>
      </c>
      <c r="B11" s="28">
        <f>ROUNDUP(A11/7,0)</f>
        <v/>
      </c>
      <c r="C11" s="13" t="n"/>
      <c r="D11" s="13" t="n"/>
      <c r="E11" s="13" t="n"/>
      <c r="F11" s="13" t="n"/>
      <c r="G11" s="13" t="n"/>
      <c r="H11" s="13" t="n"/>
      <c r="I11" s="13" t="n"/>
      <c r="J11" s="13" t="n"/>
    </row>
    <row r="12" ht="16" customHeight="1">
      <c r="A12" s="27" t="n">
        <v>7</v>
      </c>
      <c r="B12" s="28">
        <f>ROUNDUP(A12/7,0)</f>
        <v/>
      </c>
      <c r="C12" s="13" t="n"/>
      <c r="D12" s="13" t="n"/>
      <c r="E12" s="13" t="n"/>
      <c r="F12" s="13" t="n"/>
      <c r="G12" s="13" t="n"/>
      <c r="H12" s="13" t="n"/>
      <c r="I12" s="13" t="n"/>
      <c r="J12" s="13" t="n"/>
    </row>
    <row r="13" ht="16" customHeight="1">
      <c r="A13" s="27" t="n">
        <v>8</v>
      </c>
      <c r="B13" s="28">
        <f>ROUNDUP(A13/7,0)</f>
        <v/>
      </c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 ht="16" customHeight="1">
      <c r="A14" s="27" t="n">
        <v>9</v>
      </c>
      <c r="B14" s="28">
        <f>ROUNDUP(A14/7,0)</f>
        <v/>
      </c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 ht="16" customHeight="1">
      <c r="A15" s="27" t="n">
        <v>10</v>
      </c>
      <c r="B15" s="28">
        <f>ROUNDUP(A15/7,0)</f>
        <v/>
      </c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 ht="16" customHeight="1">
      <c r="A16" s="27" t="n">
        <v>11</v>
      </c>
      <c r="B16" s="28">
        <f>ROUNDUP(A16/7,0)</f>
        <v/>
      </c>
      <c r="C16" s="13" t="n"/>
      <c r="D16" s="13" t="n"/>
      <c r="E16" s="13" t="n"/>
      <c r="F16" s="13" t="n"/>
      <c r="G16" s="13" t="n"/>
      <c r="H16" s="13" t="n"/>
      <c r="I16" s="13" t="n"/>
      <c r="J16" s="13" t="n"/>
    </row>
    <row r="17" ht="16" customHeight="1">
      <c r="A17" s="27" t="n">
        <v>12</v>
      </c>
      <c r="B17" s="28">
        <f>ROUNDUP(A17/7,0)</f>
        <v/>
      </c>
      <c r="C17" s="13" t="n"/>
      <c r="D17" s="13" t="n"/>
      <c r="E17" s="13" t="n"/>
      <c r="F17" s="13" t="n"/>
      <c r="G17" s="13" t="n"/>
      <c r="H17" s="13" t="n"/>
      <c r="I17" s="13" t="n"/>
      <c r="J17" s="13" t="n"/>
    </row>
    <row r="18" ht="16" customHeight="1">
      <c r="A18" s="27" t="n">
        <v>13</v>
      </c>
      <c r="B18" s="28">
        <f>ROUNDUP(A18/7,0)</f>
        <v/>
      </c>
      <c r="C18" s="13" t="n"/>
      <c r="D18" s="13" t="n"/>
      <c r="E18" s="13" t="n"/>
      <c r="F18" s="13" t="n"/>
      <c r="G18" s="13" t="n"/>
      <c r="H18" s="13" t="n"/>
      <c r="I18" s="13" t="n"/>
      <c r="J18" s="13" t="n"/>
    </row>
    <row r="19" ht="16" customHeight="1">
      <c r="A19" s="27" t="n">
        <v>14</v>
      </c>
      <c r="B19" s="28">
        <f>ROUNDUP(A19/7,0)</f>
        <v/>
      </c>
      <c r="C19" s="13" t="n"/>
      <c r="D19" s="13" t="n"/>
      <c r="E19" s="13" t="n"/>
      <c r="F19" s="13" t="n"/>
      <c r="G19" s="13" t="n"/>
      <c r="H19" s="13" t="n"/>
      <c r="I19" s="13" t="n"/>
      <c r="J19" s="13" t="n"/>
    </row>
    <row r="20" ht="16" customHeight="1">
      <c r="A20" s="27" t="n">
        <v>15</v>
      </c>
      <c r="B20" s="28">
        <f>ROUNDUP(A20/7,0)</f>
        <v/>
      </c>
      <c r="C20" s="13" t="n"/>
      <c r="D20" s="13" t="n"/>
      <c r="E20" s="13" t="n"/>
      <c r="F20" s="13" t="n"/>
      <c r="G20" s="13" t="n"/>
      <c r="H20" s="13" t="n"/>
      <c r="I20" s="13" t="n"/>
      <c r="J20" s="13" t="n"/>
    </row>
    <row r="21" ht="16" customHeight="1">
      <c r="A21" s="27" t="n">
        <v>16</v>
      </c>
      <c r="B21" s="28">
        <f>ROUNDUP(A21/7,0)</f>
        <v/>
      </c>
      <c r="C21" s="13" t="n"/>
      <c r="D21" s="13" t="n"/>
      <c r="E21" s="13" t="n"/>
      <c r="F21" s="13" t="n"/>
      <c r="G21" s="13" t="n"/>
      <c r="H21" s="13" t="n"/>
      <c r="I21" s="13" t="n"/>
      <c r="J21" s="13" t="n"/>
    </row>
    <row r="22" ht="16" customHeight="1">
      <c r="A22" s="27" t="n">
        <v>17</v>
      </c>
      <c r="B22" s="28">
        <f>ROUNDUP(A22/7,0)</f>
        <v/>
      </c>
      <c r="C22" s="13" t="n"/>
      <c r="D22" s="13" t="n"/>
      <c r="E22" s="13" t="n"/>
      <c r="F22" s="13" t="n"/>
      <c r="G22" s="13" t="n"/>
      <c r="H22" s="13" t="n"/>
      <c r="I22" s="13" t="n"/>
      <c r="J22" s="13" t="n"/>
    </row>
    <row r="23" ht="16" customHeight="1">
      <c r="A23" s="27" t="n">
        <v>18</v>
      </c>
      <c r="B23" s="28">
        <f>ROUNDUP(A23/7,0)</f>
        <v/>
      </c>
      <c r="C23" s="13" t="n"/>
      <c r="D23" s="13" t="n"/>
      <c r="E23" s="13" t="n"/>
      <c r="F23" s="13" t="n"/>
      <c r="G23" s="13" t="n"/>
      <c r="H23" s="13" t="n"/>
      <c r="I23" s="13" t="n"/>
      <c r="J23" s="13" t="n"/>
    </row>
    <row r="24" ht="16" customHeight="1">
      <c r="A24" s="27" t="n">
        <v>19</v>
      </c>
      <c r="B24" s="28">
        <f>ROUNDUP(A24/7,0)</f>
        <v/>
      </c>
      <c r="C24" s="13" t="n"/>
      <c r="D24" s="13" t="n"/>
      <c r="E24" s="13" t="n"/>
      <c r="F24" s="13" t="n"/>
      <c r="G24" s="13" t="n"/>
      <c r="H24" s="13" t="n"/>
      <c r="I24" s="13" t="n"/>
      <c r="J24" s="13" t="n"/>
    </row>
    <row r="25" ht="16" customHeight="1">
      <c r="A25" s="27" t="n">
        <v>20</v>
      </c>
      <c r="B25" s="28">
        <f>ROUNDUP(A25/7,0)</f>
        <v/>
      </c>
      <c r="C25" s="13" t="n"/>
      <c r="D25" s="13" t="n"/>
      <c r="E25" s="13" t="n"/>
      <c r="F25" s="13" t="n"/>
      <c r="G25" s="13" t="n"/>
      <c r="H25" s="13" t="n"/>
      <c r="I25" s="13" t="n"/>
      <c r="J25" s="13" t="n"/>
    </row>
    <row r="26" ht="16" customHeight="1">
      <c r="A26" s="27" t="n">
        <v>21</v>
      </c>
      <c r="B26" s="28">
        <f>ROUNDUP(A26/7,0)</f>
        <v/>
      </c>
      <c r="C26" s="13" t="n"/>
      <c r="D26" s="13" t="n"/>
      <c r="E26" s="13" t="n"/>
      <c r="F26" s="13" t="n"/>
      <c r="G26" s="13" t="n"/>
      <c r="H26" s="13" t="n"/>
      <c r="I26" s="13" t="n"/>
      <c r="J26" s="13" t="n"/>
    </row>
    <row r="27" ht="16" customHeight="1">
      <c r="A27" s="27" t="n">
        <v>22</v>
      </c>
      <c r="B27" s="28">
        <f>ROUNDUP(A27/7,0)</f>
        <v/>
      </c>
      <c r="C27" s="13" t="n"/>
      <c r="D27" s="13" t="n"/>
      <c r="E27" s="13" t="n"/>
      <c r="F27" s="13" t="n"/>
      <c r="G27" s="13" t="n"/>
      <c r="H27" s="13" t="n"/>
      <c r="I27" s="13" t="n"/>
      <c r="J27" s="13" t="n"/>
    </row>
    <row r="28" ht="16" customHeight="1">
      <c r="A28" s="27" t="n">
        <v>23</v>
      </c>
      <c r="B28" s="28">
        <f>ROUNDUP(A28/7,0)</f>
        <v/>
      </c>
      <c r="C28" s="13" t="n"/>
      <c r="D28" s="13" t="n"/>
      <c r="E28" s="13" t="n"/>
      <c r="F28" s="13" t="n"/>
      <c r="G28" s="13" t="n"/>
      <c r="H28" s="13" t="n"/>
      <c r="I28" s="13" t="n"/>
      <c r="J28" s="13" t="n"/>
    </row>
    <row r="29" ht="16" customHeight="1">
      <c r="A29" s="27" t="n">
        <v>24</v>
      </c>
      <c r="B29" s="28">
        <f>ROUNDUP(A29/7,0)</f>
        <v/>
      </c>
      <c r="C29" s="13" t="n"/>
      <c r="D29" s="13" t="n"/>
      <c r="E29" s="13" t="n"/>
      <c r="F29" s="13" t="n"/>
      <c r="G29" s="13" t="n"/>
      <c r="H29" s="13" t="n"/>
      <c r="I29" s="13" t="n"/>
      <c r="J29" s="13" t="n"/>
    </row>
    <row r="30" ht="16" customHeight="1">
      <c r="A30" s="27" t="n">
        <v>25</v>
      </c>
      <c r="B30" s="28">
        <f>ROUNDUP(A30/7,0)</f>
        <v/>
      </c>
      <c r="C30" s="13" t="n"/>
      <c r="D30" s="13" t="n"/>
      <c r="E30" s="13" t="n"/>
      <c r="F30" s="13" t="n"/>
      <c r="G30" s="13" t="n"/>
      <c r="H30" s="13" t="n"/>
      <c r="I30" s="13" t="n"/>
      <c r="J30" s="13" t="n"/>
    </row>
    <row r="31" ht="16" customHeight="1">
      <c r="A31" s="27" t="n">
        <v>26</v>
      </c>
      <c r="B31" s="28">
        <f>ROUNDUP(A31/7,0)</f>
        <v/>
      </c>
      <c r="C31" s="13" t="n"/>
      <c r="D31" s="13" t="n"/>
      <c r="E31" s="13" t="n"/>
      <c r="F31" s="13" t="n"/>
      <c r="G31" s="13" t="n"/>
      <c r="H31" s="13" t="n"/>
      <c r="I31" s="13" t="n"/>
      <c r="J31" s="13" t="n"/>
    </row>
    <row r="32" ht="16" customHeight="1">
      <c r="A32" s="27" t="n">
        <v>27</v>
      </c>
      <c r="B32" s="28">
        <f>ROUNDUP(A32/7,0)</f>
        <v/>
      </c>
      <c r="C32" s="13" t="n"/>
      <c r="D32" s="13" t="n"/>
      <c r="E32" s="13" t="n"/>
      <c r="F32" s="13" t="n"/>
      <c r="G32" s="13" t="n"/>
      <c r="H32" s="13" t="n"/>
      <c r="I32" s="13" t="n"/>
      <c r="J32" s="13" t="n"/>
    </row>
    <row r="33" ht="16" customHeight="1">
      <c r="A33" s="27" t="n">
        <v>28</v>
      </c>
      <c r="B33" s="28">
        <f>ROUNDUP(A33/7,0)</f>
        <v/>
      </c>
      <c r="C33" s="13" t="n"/>
      <c r="D33" s="13" t="n"/>
      <c r="E33" s="13" t="n"/>
      <c r="F33" s="13" t="n"/>
      <c r="G33" s="13" t="n"/>
      <c r="H33" s="13" t="n"/>
      <c r="I33" s="13" t="n"/>
      <c r="J33" s="13" t="n"/>
    </row>
    <row r="34" ht="16" customHeight="1">
      <c r="A34" s="27" t="n">
        <v>29</v>
      </c>
      <c r="B34" s="28">
        <f>ROUNDUP(A34/7,0)</f>
        <v/>
      </c>
      <c r="C34" s="13" t="n"/>
      <c r="D34" s="13" t="n"/>
      <c r="E34" s="13" t="n"/>
      <c r="F34" s="13" t="n"/>
      <c r="G34" s="13" t="n"/>
      <c r="H34" s="13" t="n"/>
      <c r="I34" s="13" t="n"/>
      <c r="J34" s="13" t="n"/>
    </row>
    <row r="35" ht="16" customHeight="1">
      <c r="A35" s="27" t="n">
        <v>30</v>
      </c>
      <c r="B35" s="28">
        <f>ROUNDUP(A35/7,0)</f>
        <v/>
      </c>
      <c r="C35" s="13" t="n"/>
      <c r="D35" s="13" t="n"/>
      <c r="E35" s="13" t="n"/>
      <c r="F35" s="13" t="n"/>
      <c r="G35" s="13" t="n"/>
      <c r="H35" s="13" t="n"/>
      <c r="I35" s="13" t="n"/>
      <c r="J35" s="13" t="n"/>
    </row>
    <row r="36" ht="16" customHeight="1">
      <c r="A36" s="27" t="n">
        <v>31</v>
      </c>
      <c r="B36" s="28">
        <f>ROUNDUP(A36/7,0)</f>
        <v/>
      </c>
      <c r="C36" s="13" t="n"/>
      <c r="D36" s="13" t="n"/>
      <c r="E36" s="13" t="n"/>
      <c r="F36" s="13" t="n"/>
      <c r="G36" s="13" t="n"/>
      <c r="H36" s="13" t="n"/>
      <c r="I36" s="13" t="n"/>
      <c r="J36" s="13" t="n"/>
    </row>
    <row r="37">
      <c r="A37" s="29" t="inlineStr">
        <is>
          <t>TOTAL</t>
        </is>
      </c>
      <c r="B37" s="30" t="n"/>
      <c r="C37" s="31">
        <f>SUM(C6:C36)</f>
        <v/>
      </c>
      <c r="D37" s="31">
        <f>SUM(D6:D36)</f>
        <v/>
      </c>
      <c r="E37" s="31">
        <f>SUM(E6:E36)</f>
        <v/>
      </c>
      <c r="F37" s="31">
        <f>SUM(F6:F36)</f>
        <v/>
      </c>
      <c r="G37" s="31">
        <f>SUM(G6:G36)</f>
        <v/>
      </c>
      <c r="H37" s="31">
        <f>SUM(H6:H36)</f>
        <v/>
      </c>
      <c r="I37" s="31">
        <f>SUM(I6:I36)</f>
        <v/>
      </c>
      <c r="J37" s="31">
        <f>SUM(J6:J36)</f>
        <v/>
      </c>
    </row>
    <row r="38">
      <c r="A38" s="32" t="inlineStr">
        <is>
          <t>MÉDIA/dia</t>
        </is>
      </c>
      <c r="B38" s="9" t="n"/>
      <c r="C38" s="33">
        <f>IFERROR(ROUND(AVERAGE(C6:C36),1),0)</f>
        <v/>
      </c>
      <c r="D38" s="33">
        <f>IFERROR(ROUND(AVERAGE(D6:D36),1),0)</f>
        <v/>
      </c>
      <c r="E38" s="33">
        <f>IFERROR(ROUND(AVERAGE(E6:E36),1),0)</f>
        <v/>
      </c>
      <c r="F38" s="33">
        <f>IFERROR(ROUND(AVERAGE(F6:F36),1),0)</f>
        <v/>
      </c>
      <c r="G38" s="33">
        <f>IFERROR(ROUND(AVERAGE(G6:G36),1),0)</f>
        <v/>
      </c>
      <c r="H38" s="33">
        <f>IFERROR(ROUND(AVERAGE(H6:H36),1),0)</f>
        <v/>
      </c>
      <c r="I38" s="33">
        <f>IFERROR(ROUND(AVERAGE(I6:I36),1),0)</f>
        <v/>
      </c>
      <c r="J38" s="33">
        <f>IFERROR(ROUND(AVERAGE(J6:J36),1),0)</f>
        <v/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0" customHeight="1">
      <c r="A1" s="1" t="inlineStr">
        <is>
          <t>Diário Inbound · lançamento do dia</t>
        </is>
      </c>
    </row>
    <row r="2" ht="16" customHeight="1">
      <c r="A2" s="2" t="inlineStr">
        <is>
          <t>Leads que chegam: anúncios, site, indicações e orgânico.</t>
        </is>
      </c>
    </row>
    <row r="4" ht="20" customHeight="1">
      <c r="A4" s="3" t="inlineStr">
        <is>
          <t>PREENCHA OS NÚMEROS DE CADA DIA (DEIXE EM BRANCO OS DIAS QUE NÃO HOUVE)</t>
        </is>
      </c>
    </row>
    <row r="5" ht="26" customHeight="1">
      <c r="A5" s="8" t="inlineStr">
        <is>
          <t>Dia</t>
        </is>
      </c>
      <c r="B5" s="8" t="inlineStr">
        <is>
          <t>Sem.</t>
        </is>
      </c>
      <c r="C5" s="10" t="inlineStr">
        <is>
          <t>Leads recebidos</t>
        </is>
      </c>
      <c r="D5" s="10" t="inlineStr">
        <is>
          <t>Atendidos em até 5 min</t>
        </is>
      </c>
      <c r="E5" s="10" t="inlineStr">
        <is>
          <t>Qualificados</t>
        </is>
      </c>
      <c r="F5" s="10" t="inlineStr">
        <is>
          <t>Reuniões marcadas</t>
        </is>
      </c>
      <c r="G5" s="10" t="inlineStr">
        <is>
          <t>Reuniões realizadas (show)</t>
        </is>
      </c>
      <c r="H5" s="10" t="inlineStr">
        <is>
          <t>No-show</t>
        </is>
      </c>
      <c r="I5" s="10" t="inlineStr">
        <is>
          <t>Propostas</t>
        </is>
      </c>
      <c r="J5" s="10" t="inlineStr">
        <is>
          <t>Vendas</t>
        </is>
      </c>
    </row>
    <row r="6" ht="16" customHeight="1">
      <c r="A6" s="27" t="n">
        <v>1</v>
      </c>
      <c r="B6" s="28">
        <f>ROUNDUP(A6/7,0)</f>
        <v/>
      </c>
      <c r="C6" s="13" t="n"/>
      <c r="D6" s="13" t="n"/>
      <c r="E6" s="13" t="n"/>
      <c r="F6" s="13" t="n"/>
      <c r="G6" s="13" t="n"/>
      <c r="H6" s="13" t="n"/>
      <c r="I6" s="13" t="n"/>
      <c r="J6" s="13" t="n"/>
    </row>
    <row r="7" ht="16" customHeight="1">
      <c r="A7" s="27" t="n">
        <v>2</v>
      </c>
      <c r="B7" s="28">
        <f>ROUNDUP(A7/7,0)</f>
        <v/>
      </c>
      <c r="C7" s="13" t="n"/>
      <c r="D7" s="13" t="n"/>
      <c r="E7" s="13" t="n"/>
      <c r="F7" s="13" t="n"/>
      <c r="G7" s="13" t="n"/>
      <c r="H7" s="13" t="n"/>
      <c r="I7" s="13" t="n"/>
      <c r="J7" s="13" t="n"/>
    </row>
    <row r="8" ht="16" customHeight="1">
      <c r="A8" s="27" t="n">
        <v>3</v>
      </c>
      <c r="B8" s="28">
        <f>ROUNDUP(A8/7,0)</f>
        <v/>
      </c>
      <c r="C8" s="13" t="n"/>
      <c r="D8" s="13" t="n"/>
      <c r="E8" s="13" t="n"/>
      <c r="F8" s="13" t="n"/>
      <c r="G8" s="13" t="n"/>
      <c r="H8" s="13" t="n"/>
      <c r="I8" s="13" t="n"/>
      <c r="J8" s="13" t="n"/>
    </row>
    <row r="9" ht="16" customHeight="1">
      <c r="A9" s="27" t="n">
        <v>4</v>
      </c>
      <c r="B9" s="28">
        <f>ROUNDUP(A9/7,0)</f>
        <v/>
      </c>
      <c r="C9" s="13" t="n"/>
      <c r="D9" s="13" t="n"/>
      <c r="E9" s="13" t="n"/>
      <c r="F9" s="13" t="n"/>
      <c r="G9" s="13" t="n"/>
      <c r="H9" s="13" t="n"/>
      <c r="I9" s="13" t="n"/>
      <c r="J9" s="13" t="n"/>
    </row>
    <row r="10" ht="16" customHeight="1">
      <c r="A10" s="27" t="n">
        <v>5</v>
      </c>
      <c r="B10" s="28">
        <f>ROUNDUP(A10/7,0)</f>
        <v/>
      </c>
      <c r="C10" s="13" t="n"/>
      <c r="D10" s="13" t="n"/>
      <c r="E10" s="13" t="n"/>
      <c r="F10" s="13" t="n"/>
      <c r="G10" s="13" t="n"/>
      <c r="H10" s="13" t="n"/>
      <c r="I10" s="13" t="n"/>
      <c r="J10" s="13" t="n"/>
    </row>
    <row r="11" ht="16" customHeight="1">
      <c r="A11" s="27" t="n">
        <v>6</v>
      </c>
      <c r="B11" s="28">
        <f>ROUNDUP(A11/7,0)</f>
        <v/>
      </c>
      <c r="C11" s="13" t="n"/>
      <c r="D11" s="13" t="n"/>
      <c r="E11" s="13" t="n"/>
      <c r="F11" s="13" t="n"/>
      <c r="G11" s="13" t="n"/>
      <c r="H11" s="13" t="n"/>
      <c r="I11" s="13" t="n"/>
      <c r="J11" s="13" t="n"/>
    </row>
    <row r="12" ht="16" customHeight="1">
      <c r="A12" s="27" t="n">
        <v>7</v>
      </c>
      <c r="B12" s="28">
        <f>ROUNDUP(A12/7,0)</f>
        <v/>
      </c>
      <c r="C12" s="13" t="n"/>
      <c r="D12" s="13" t="n"/>
      <c r="E12" s="13" t="n"/>
      <c r="F12" s="13" t="n"/>
      <c r="G12" s="13" t="n"/>
      <c r="H12" s="13" t="n"/>
      <c r="I12" s="13" t="n"/>
      <c r="J12" s="13" t="n"/>
    </row>
    <row r="13" ht="16" customHeight="1">
      <c r="A13" s="27" t="n">
        <v>8</v>
      </c>
      <c r="B13" s="28">
        <f>ROUNDUP(A13/7,0)</f>
        <v/>
      </c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 ht="16" customHeight="1">
      <c r="A14" s="27" t="n">
        <v>9</v>
      </c>
      <c r="B14" s="28">
        <f>ROUNDUP(A14/7,0)</f>
        <v/>
      </c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 ht="16" customHeight="1">
      <c r="A15" s="27" t="n">
        <v>10</v>
      </c>
      <c r="B15" s="28">
        <f>ROUNDUP(A15/7,0)</f>
        <v/>
      </c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 ht="16" customHeight="1">
      <c r="A16" s="27" t="n">
        <v>11</v>
      </c>
      <c r="B16" s="28">
        <f>ROUNDUP(A16/7,0)</f>
        <v/>
      </c>
      <c r="C16" s="13" t="n"/>
      <c r="D16" s="13" t="n"/>
      <c r="E16" s="13" t="n"/>
      <c r="F16" s="13" t="n"/>
      <c r="G16" s="13" t="n"/>
      <c r="H16" s="13" t="n"/>
      <c r="I16" s="13" t="n"/>
      <c r="J16" s="13" t="n"/>
    </row>
    <row r="17" ht="16" customHeight="1">
      <c r="A17" s="27" t="n">
        <v>12</v>
      </c>
      <c r="B17" s="28">
        <f>ROUNDUP(A17/7,0)</f>
        <v/>
      </c>
      <c r="C17" s="13" t="n"/>
      <c r="D17" s="13" t="n"/>
      <c r="E17" s="13" t="n"/>
      <c r="F17" s="13" t="n"/>
      <c r="G17" s="13" t="n"/>
      <c r="H17" s="13" t="n"/>
      <c r="I17" s="13" t="n"/>
      <c r="J17" s="13" t="n"/>
    </row>
    <row r="18" ht="16" customHeight="1">
      <c r="A18" s="27" t="n">
        <v>13</v>
      </c>
      <c r="B18" s="28">
        <f>ROUNDUP(A18/7,0)</f>
        <v/>
      </c>
      <c r="C18" s="13" t="n"/>
      <c r="D18" s="13" t="n"/>
      <c r="E18" s="13" t="n"/>
      <c r="F18" s="13" t="n"/>
      <c r="G18" s="13" t="n"/>
      <c r="H18" s="13" t="n"/>
      <c r="I18" s="13" t="n"/>
      <c r="J18" s="13" t="n"/>
    </row>
    <row r="19" ht="16" customHeight="1">
      <c r="A19" s="27" t="n">
        <v>14</v>
      </c>
      <c r="B19" s="28">
        <f>ROUNDUP(A19/7,0)</f>
        <v/>
      </c>
      <c r="C19" s="13" t="n"/>
      <c r="D19" s="13" t="n"/>
      <c r="E19" s="13" t="n"/>
      <c r="F19" s="13" t="n"/>
      <c r="G19" s="13" t="n"/>
      <c r="H19" s="13" t="n"/>
      <c r="I19" s="13" t="n"/>
      <c r="J19" s="13" t="n"/>
    </row>
    <row r="20" ht="16" customHeight="1">
      <c r="A20" s="27" t="n">
        <v>15</v>
      </c>
      <c r="B20" s="28">
        <f>ROUNDUP(A20/7,0)</f>
        <v/>
      </c>
      <c r="C20" s="13" t="n"/>
      <c r="D20" s="13" t="n"/>
      <c r="E20" s="13" t="n"/>
      <c r="F20" s="13" t="n"/>
      <c r="G20" s="13" t="n"/>
      <c r="H20" s="13" t="n"/>
      <c r="I20" s="13" t="n"/>
      <c r="J20" s="13" t="n"/>
    </row>
    <row r="21" ht="16" customHeight="1">
      <c r="A21" s="27" t="n">
        <v>16</v>
      </c>
      <c r="B21" s="28">
        <f>ROUNDUP(A21/7,0)</f>
        <v/>
      </c>
      <c r="C21" s="13" t="n"/>
      <c r="D21" s="13" t="n"/>
      <c r="E21" s="13" t="n"/>
      <c r="F21" s="13" t="n"/>
      <c r="G21" s="13" t="n"/>
      <c r="H21" s="13" t="n"/>
      <c r="I21" s="13" t="n"/>
      <c r="J21" s="13" t="n"/>
    </row>
    <row r="22" ht="16" customHeight="1">
      <c r="A22" s="27" t="n">
        <v>17</v>
      </c>
      <c r="B22" s="28">
        <f>ROUNDUP(A22/7,0)</f>
        <v/>
      </c>
      <c r="C22" s="13" t="n"/>
      <c r="D22" s="13" t="n"/>
      <c r="E22" s="13" t="n"/>
      <c r="F22" s="13" t="n"/>
      <c r="G22" s="13" t="n"/>
      <c r="H22" s="13" t="n"/>
      <c r="I22" s="13" t="n"/>
      <c r="J22" s="13" t="n"/>
    </row>
    <row r="23" ht="16" customHeight="1">
      <c r="A23" s="27" t="n">
        <v>18</v>
      </c>
      <c r="B23" s="28">
        <f>ROUNDUP(A23/7,0)</f>
        <v/>
      </c>
      <c r="C23" s="13" t="n"/>
      <c r="D23" s="13" t="n"/>
      <c r="E23" s="13" t="n"/>
      <c r="F23" s="13" t="n"/>
      <c r="G23" s="13" t="n"/>
      <c r="H23" s="13" t="n"/>
      <c r="I23" s="13" t="n"/>
      <c r="J23" s="13" t="n"/>
    </row>
    <row r="24" ht="16" customHeight="1">
      <c r="A24" s="27" t="n">
        <v>19</v>
      </c>
      <c r="B24" s="28">
        <f>ROUNDUP(A24/7,0)</f>
        <v/>
      </c>
      <c r="C24" s="13" t="n"/>
      <c r="D24" s="13" t="n"/>
      <c r="E24" s="13" t="n"/>
      <c r="F24" s="13" t="n"/>
      <c r="G24" s="13" t="n"/>
      <c r="H24" s="13" t="n"/>
      <c r="I24" s="13" t="n"/>
      <c r="J24" s="13" t="n"/>
    </row>
    <row r="25" ht="16" customHeight="1">
      <c r="A25" s="27" t="n">
        <v>20</v>
      </c>
      <c r="B25" s="28">
        <f>ROUNDUP(A25/7,0)</f>
        <v/>
      </c>
      <c r="C25" s="13" t="n"/>
      <c r="D25" s="13" t="n"/>
      <c r="E25" s="13" t="n"/>
      <c r="F25" s="13" t="n"/>
      <c r="G25" s="13" t="n"/>
      <c r="H25" s="13" t="n"/>
      <c r="I25" s="13" t="n"/>
      <c r="J25" s="13" t="n"/>
    </row>
    <row r="26" ht="16" customHeight="1">
      <c r="A26" s="27" t="n">
        <v>21</v>
      </c>
      <c r="B26" s="28">
        <f>ROUNDUP(A26/7,0)</f>
        <v/>
      </c>
      <c r="C26" s="13" t="n"/>
      <c r="D26" s="13" t="n"/>
      <c r="E26" s="13" t="n"/>
      <c r="F26" s="13" t="n"/>
      <c r="G26" s="13" t="n"/>
      <c r="H26" s="13" t="n"/>
      <c r="I26" s="13" t="n"/>
      <c r="J26" s="13" t="n"/>
    </row>
    <row r="27" ht="16" customHeight="1">
      <c r="A27" s="27" t="n">
        <v>22</v>
      </c>
      <c r="B27" s="28">
        <f>ROUNDUP(A27/7,0)</f>
        <v/>
      </c>
      <c r="C27" s="13" t="n"/>
      <c r="D27" s="13" t="n"/>
      <c r="E27" s="13" t="n"/>
      <c r="F27" s="13" t="n"/>
      <c r="G27" s="13" t="n"/>
      <c r="H27" s="13" t="n"/>
      <c r="I27" s="13" t="n"/>
      <c r="J27" s="13" t="n"/>
    </row>
    <row r="28" ht="16" customHeight="1">
      <c r="A28" s="27" t="n">
        <v>23</v>
      </c>
      <c r="B28" s="28">
        <f>ROUNDUP(A28/7,0)</f>
        <v/>
      </c>
      <c r="C28" s="13" t="n"/>
      <c r="D28" s="13" t="n"/>
      <c r="E28" s="13" t="n"/>
      <c r="F28" s="13" t="n"/>
      <c r="G28" s="13" t="n"/>
      <c r="H28" s="13" t="n"/>
      <c r="I28" s="13" t="n"/>
      <c r="J28" s="13" t="n"/>
    </row>
    <row r="29" ht="16" customHeight="1">
      <c r="A29" s="27" t="n">
        <v>24</v>
      </c>
      <c r="B29" s="28">
        <f>ROUNDUP(A29/7,0)</f>
        <v/>
      </c>
      <c r="C29" s="13" t="n"/>
      <c r="D29" s="13" t="n"/>
      <c r="E29" s="13" t="n"/>
      <c r="F29" s="13" t="n"/>
      <c r="G29" s="13" t="n"/>
      <c r="H29" s="13" t="n"/>
      <c r="I29" s="13" t="n"/>
      <c r="J29" s="13" t="n"/>
    </row>
    <row r="30" ht="16" customHeight="1">
      <c r="A30" s="27" t="n">
        <v>25</v>
      </c>
      <c r="B30" s="28">
        <f>ROUNDUP(A30/7,0)</f>
        <v/>
      </c>
      <c r="C30" s="13" t="n"/>
      <c r="D30" s="13" t="n"/>
      <c r="E30" s="13" t="n"/>
      <c r="F30" s="13" t="n"/>
      <c r="G30" s="13" t="n"/>
      <c r="H30" s="13" t="n"/>
      <c r="I30" s="13" t="n"/>
      <c r="J30" s="13" t="n"/>
    </row>
    <row r="31" ht="16" customHeight="1">
      <c r="A31" s="27" t="n">
        <v>26</v>
      </c>
      <c r="B31" s="28">
        <f>ROUNDUP(A31/7,0)</f>
        <v/>
      </c>
      <c r="C31" s="13" t="n"/>
      <c r="D31" s="13" t="n"/>
      <c r="E31" s="13" t="n"/>
      <c r="F31" s="13" t="n"/>
      <c r="G31" s="13" t="n"/>
      <c r="H31" s="13" t="n"/>
      <c r="I31" s="13" t="n"/>
      <c r="J31" s="13" t="n"/>
    </row>
    <row r="32" ht="16" customHeight="1">
      <c r="A32" s="27" t="n">
        <v>27</v>
      </c>
      <c r="B32" s="28">
        <f>ROUNDUP(A32/7,0)</f>
        <v/>
      </c>
      <c r="C32" s="13" t="n"/>
      <c r="D32" s="13" t="n"/>
      <c r="E32" s="13" t="n"/>
      <c r="F32" s="13" t="n"/>
      <c r="G32" s="13" t="n"/>
      <c r="H32" s="13" t="n"/>
      <c r="I32" s="13" t="n"/>
      <c r="J32" s="13" t="n"/>
    </row>
    <row r="33" ht="16" customHeight="1">
      <c r="A33" s="27" t="n">
        <v>28</v>
      </c>
      <c r="B33" s="28">
        <f>ROUNDUP(A33/7,0)</f>
        <v/>
      </c>
      <c r="C33" s="13" t="n"/>
      <c r="D33" s="13" t="n"/>
      <c r="E33" s="13" t="n"/>
      <c r="F33" s="13" t="n"/>
      <c r="G33" s="13" t="n"/>
      <c r="H33" s="13" t="n"/>
      <c r="I33" s="13" t="n"/>
      <c r="J33" s="13" t="n"/>
    </row>
    <row r="34" ht="16" customHeight="1">
      <c r="A34" s="27" t="n">
        <v>29</v>
      </c>
      <c r="B34" s="28">
        <f>ROUNDUP(A34/7,0)</f>
        <v/>
      </c>
      <c r="C34" s="13" t="n"/>
      <c r="D34" s="13" t="n"/>
      <c r="E34" s="13" t="n"/>
      <c r="F34" s="13" t="n"/>
      <c r="G34" s="13" t="n"/>
      <c r="H34" s="13" t="n"/>
      <c r="I34" s="13" t="n"/>
      <c r="J34" s="13" t="n"/>
    </row>
    <row r="35" ht="16" customHeight="1">
      <c r="A35" s="27" t="n">
        <v>30</v>
      </c>
      <c r="B35" s="28">
        <f>ROUNDUP(A35/7,0)</f>
        <v/>
      </c>
      <c r="C35" s="13" t="n"/>
      <c r="D35" s="13" t="n"/>
      <c r="E35" s="13" t="n"/>
      <c r="F35" s="13" t="n"/>
      <c r="G35" s="13" t="n"/>
      <c r="H35" s="13" t="n"/>
      <c r="I35" s="13" t="n"/>
      <c r="J35" s="13" t="n"/>
    </row>
    <row r="36" ht="16" customHeight="1">
      <c r="A36" s="27" t="n">
        <v>31</v>
      </c>
      <c r="B36" s="28">
        <f>ROUNDUP(A36/7,0)</f>
        <v/>
      </c>
      <c r="C36" s="13" t="n"/>
      <c r="D36" s="13" t="n"/>
      <c r="E36" s="13" t="n"/>
      <c r="F36" s="13" t="n"/>
      <c r="G36" s="13" t="n"/>
      <c r="H36" s="13" t="n"/>
      <c r="I36" s="13" t="n"/>
      <c r="J36" s="13" t="n"/>
    </row>
    <row r="37">
      <c r="A37" s="29" t="inlineStr">
        <is>
          <t>TOTAL</t>
        </is>
      </c>
      <c r="B37" s="30" t="n"/>
      <c r="C37" s="31">
        <f>SUM(C6:C36)</f>
        <v/>
      </c>
      <c r="D37" s="31">
        <f>SUM(D6:D36)</f>
        <v/>
      </c>
      <c r="E37" s="31">
        <f>SUM(E6:E36)</f>
        <v/>
      </c>
      <c r="F37" s="31">
        <f>SUM(F6:F36)</f>
        <v/>
      </c>
      <c r="G37" s="31">
        <f>SUM(G6:G36)</f>
        <v/>
      </c>
      <c r="H37" s="31">
        <f>SUM(H6:H36)</f>
        <v/>
      </c>
      <c r="I37" s="31">
        <f>SUM(I6:I36)</f>
        <v/>
      </c>
      <c r="J37" s="31">
        <f>SUM(J6:J36)</f>
        <v/>
      </c>
    </row>
    <row r="38">
      <c r="A38" s="32" t="inlineStr">
        <is>
          <t>MÉDIA/dia</t>
        </is>
      </c>
      <c r="B38" s="9" t="n"/>
      <c r="C38" s="33">
        <f>IFERROR(ROUND(AVERAGE(C6:C36),1),0)</f>
        <v/>
      </c>
      <c r="D38" s="33">
        <f>IFERROR(ROUND(AVERAGE(D6:D36),1),0)</f>
        <v/>
      </c>
      <c r="E38" s="33">
        <f>IFERROR(ROUND(AVERAGE(E6:E36),1),0)</f>
        <v/>
      </c>
      <c r="F38" s="33">
        <f>IFERROR(ROUND(AVERAGE(F6:F36),1),0)</f>
        <v/>
      </c>
      <c r="G38" s="33">
        <f>IFERROR(ROUND(AVERAGE(G6:G36),1),0)</f>
        <v/>
      </c>
      <c r="H38" s="33">
        <f>IFERROR(ROUND(AVERAGE(H6:H36),1),0)</f>
        <v/>
      </c>
      <c r="I38" s="33">
        <f>IFERROR(ROUND(AVERAGE(I6:I36),1),0)</f>
        <v/>
      </c>
      <c r="J38" s="33">
        <f>IFERROR(ROUND(AVERAGE(J6:J36),1),0)</f>
        <v/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2026-07-02T19:13:22Z</dcterms:created>
  <dcterms:modified xmlns:dcterms="http://purl.org/dc/terms/" xmlns:xsi="http://www.w3.org/2001/XMLSchema-instance" xsi:type="dcterms:W3CDTF">2026-07-02T19:13:22Z</dcterms:modified>
</cp:coreProperties>
</file>