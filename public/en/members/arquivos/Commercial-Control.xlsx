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eps Panel" sheetId="2" state="visible" r:id="rId2"/>
    <sheet xmlns:r="http://schemas.openxmlformats.org/officeDocument/2006/relationships" name="SDRs Panel" sheetId="3" state="visible" r:id="rId3"/>
    <sheet xmlns:r="http://schemas.openxmlformats.org/officeDocument/2006/relationships" name="Ranking" sheetId="4" state="visible" r:id="rId4"/>
    <sheet xmlns:r="http://schemas.openxmlformats.org/officeDocument/2006/relationships" name="Sales Dashboard" sheetId="5" state="visible" r:id="rId5"/>
    <sheet xmlns:r="http://schemas.openxmlformats.org/officeDocument/2006/relationships" name="Team" sheetId="6" state="visible" r:id="rId6"/>
    <sheet xmlns:r="http://schemas.openxmlformats.org/officeDocument/2006/relationships" name="Sales" sheetId="7" state="visible" r:id="rId7"/>
  </sheets>
  <definedNames>
    <definedName name="REPS">Team!$B$6:$B$8</definedName>
    <definedName name="SDRS">Team!$B$12:$B$14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%"/>
    <numFmt numFmtId="167" formatCode="0.0&quot;x&quot;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E6E74"/>
      <sz val="9"/>
    </font>
    <font>
      <name val="Arial"/>
      <b val="1"/>
      <color rgb="00E8430F"/>
      <sz val="10"/>
    </font>
    <font>
      <name val="Arial"/>
      <b val="1"/>
      <color rgb="00E8430F"/>
      <sz val="11"/>
    </font>
    <font>
      <name val="Arial"/>
      <color rgb="002E2E33"/>
      <sz val="10"/>
    </font>
    <font>
      <name val="Arial"/>
      <b val="1"/>
      <color rgb="002E2E33"/>
      <sz val="10"/>
    </font>
    <font>
      <name val="Arial"/>
      <color rgb="006E6E74"/>
      <sz val="8"/>
    </font>
    <font>
      <name val="Arial"/>
      <b val="1"/>
      <color rgb="00FFFFFF"/>
      <sz val="9"/>
    </font>
    <font>
      <name val="Arial"/>
      <color rgb="006E6E74"/>
      <sz val="10"/>
    </font>
    <font>
      <name val="Arial"/>
      <b val="1"/>
      <color rgb="001F4E79"/>
      <sz val="10"/>
    </font>
    <font>
      <name val="Arial"/>
      <color rgb="006E6E74"/>
      <sz val="9"/>
    </font>
    <font>
      <name val="Arial"/>
      <color rgb="002E2E33"/>
      <sz val="9.5"/>
    </font>
    <font>
      <name val="Arial"/>
      <color rgb="00E8430F"/>
      <sz val="10"/>
    </font>
    <font>
      <name val="Arial"/>
      <b val="1"/>
      <color rgb="00FFFFFF"/>
      <sz val="10"/>
    </font>
    <font>
      <name val="Arial"/>
      <b val="1"/>
      <color rgb="002E2E33"/>
      <sz val="9.5"/>
    </font>
    <font>
      <name val="Arial"/>
      <b val="1"/>
      <color rgb="00FB5A2D"/>
      <sz val="10"/>
    </font>
    <font>
      <name val="Arial"/>
      <b val="1"/>
      <color rgb="002E2E33"/>
      <sz val="12"/>
    </font>
    <font>
      <name val="Arial"/>
      <b val="1"/>
      <color rgb="002E2E33"/>
      <sz val="11"/>
    </font>
    <font>
      <name val="Arial"/>
      <color rgb="006E6E74"/>
      <sz val="8.5"/>
    </font>
    <font>
      <name val="Arial"/>
      <b val="1"/>
      <color rgb="00E8430F"/>
      <sz val="15"/>
    </font>
    <font>
      <name val="Arial"/>
      <b val="1"/>
      <color rgb="002E2E33"/>
      <sz val="15"/>
    </font>
  </fonts>
  <fills count="8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FFE7DA"/>
      </patternFill>
    </fill>
    <fill>
      <patternFill patternType="solid">
        <fgColor rgb="00FFF2CC"/>
      </patternFill>
    </fill>
    <fill>
      <patternFill patternType="solid">
        <fgColor rgb="002E2E33"/>
      </patternFill>
    </fill>
    <fill>
      <patternFill patternType="solid">
        <fgColor rgb="00FFF1EA"/>
      </patternFill>
    </fill>
    <fill>
      <patternFill patternType="solid">
        <fgColor rgb="00FFF3C4"/>
      </patternFill>
    </fill>
  </fills>
  <borders count="5">
    <border>
      <left/>
      <right/>
      <top/>
      <bottom/>
      <diagonal/>
    </border>
    <border>
      <left style="thin">
        <color rgb="00ECEBE8"/>
      </left>
      <right style="thin">
        <color rgb="00ECEBE8"/>
      </right>
      <top style="thin">
        <color rgb="00ECEBE8"/>
      </top>
      <bottom style="thin">
        <color rgb="00ECEBE8"/>
      </bottom>
    </border>
    <border>
      <left/>
      <right/>
      <top style="thin">
        <color rgb="00ECEBE8"/>
      </top>
      <bottom/>
      <diagonal/>
    </border>
    <border>
      <left/>
      <right style="thin">
        <color rgb="00ECEBE8"/>
      </right>
      <top style="thin">
        <color rgb="00ECEBE8"/>
      </top>
      <bottom/>
      <diagonal/>
    </border>
    <border>
      <left/>
      <right style="thin">
        <color rgb="00ECEBE8"/>
      </right>
      <top style="thin">
        <color rgb="00ECEBE8"/>
      </top>
      <bottom style="thin">
        <color rgb="00ECEBE8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17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64" fontId="18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 indent="1"/>
    </xf>
    <xf numFmtId="164" fontId="20" fillId="0" borderId="1" applyAlignment="1" pivotButton="0" quotePrefix="0" xfId="0">
      <alignment horizontal="center" vertical="center"/>
    </xf>
    <xf numFmtId="1" fontId="21" fillId="0" borderId="1" applyAlignment="1" pivotButton="0" quotePrefix="0" xfId="0">
      <alignment horizontal="center" vertical="center"/>
    </xf>
    <xf numFmtId="164" fontId="2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/>
    </xf>
    <xf numFmtId="167" fontId="20" fillId="0" borderId="1" applyAlignment="1" pivotButton="0" quotePrefix="0" xfId="0">
      <alignment horizontal="center" vertical="center"/>
    </xf>
    <xf numFmtId="166" fontId="20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9" fontId="10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 inden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FE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generated by rep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'Ranking'!$J$5:$J$7</f>
            </numRef>
          </cat>
          <val>
            <numRef>
              <f>'Ranking'!$K$5:$K$7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source (who booked)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'Sales Dashboard'!$L$5:$L$6</f>
            </numRef>
          </cat>
          <val>
            <numRef>
              <f>'Sales Dashboard'!$M$5:$M$6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by payment type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'Sales Dashboard'!$L$8:$L$9</f>
            </numRef>
          </cat>
          <val>
            <numRef>
              <f>'Sales Dashboard'!$M$8:$M$9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14287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39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22</row>
      <rowOff>0</rowOff>
    </from>
    <ext cx="37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22</row>
      <rowOff>0</rowOff>
    </from>
    <ext cx="37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Commercial Control · Usual Digital</t>
        </is>
      </c>
    </row>
    <row r="2" ht="16" customHeight="1">
      <c r="A2" s="2" t="inlineStr">
        <is>
          <t>Month cash, commissions, automatic ranking and dashboard. One copy per month.</t>
        </is>
      </c>
    </row>
    <row r="3" ht="30" customHeight="1"/>
    <row r="4" ht="20" customHeight="1">
      <c r="A4" s="3" t="inlineStr">
        <is>
          <t>HOW TO USE</t>
        </is>
      </c>
    </row>
    <row r="6" ht="30" customHeight="1">
      <c r="A6" s="4" t="inlineStr">
        <is>
          <t>1.</t>
        </is>
      </c>
      <c r="B6" s="5" t="inlineStr">
        <is>
          <t>In Google Sheets: File &gt; Make a copy. Duplicate the sheet each month (e.g., Sales July/26).</t>
        </is>
      </c>
    </row>
    <row r="7" ht="30" customHeight="1">
      <c r="A7" s="4" t="inlineStr">
        <is>
          <t>2.</t>
        </is>
      </c>
      <c r="B7" s="5" t="inlineStr">
        <is>
          <t>TEAM tab: check names, base salary, commission % and cash target for each rep and SDR. Everything yellow is editable.</t>
        </is>
      </c>
    </row>
    <row r="8" ht="30" customHeight="1">
      <c r="A8" s="4" t="inlineStr">
        <is>
          <t>3.</t>
        </is>
      </c>
      <c r="B8" s="5" t="inlineStr">
        <is>
          <t>SALES tab: each sale is a row. CASH PAID THIS MONTH = what the customer actually paid: if monthly, the installment; if upfront, the full value. Months = contract length (1 to 12).</t>
        </is>
      </c>
    </row>
    <row r="9" ht="30" customHeight="1">
      <c r="A9" s="4" t="inlineStr">
        <is>
          <t>4.</t>
        </is>
      </c>
      <c r="B9" s="5" t="inlineStr">
        <is>
          <t>On the same row, mark WHO BOOKED IT: Rep or SDR (and which SDR). Commissions calculate on their own, on the 1st month.</t>
        </is>
      </c>
    </row>
    <row r="10" ht="30" customHeight="1">
      <c r="A10" s="4" t="inlineStr">
        <is>
          <t>5.</t>
        </is>
      </c>
      <c r="B10" s="5" t="inlineStr">
        <is>
          <t>PANELS and RANKING update on their own with the month's CASH: how much each earns and who the champion is.</t>
        </is>
      </c>
    </row>
    <row r="11" ht="30" customHeight="1">
      <c r="A11" s="4" t="inlineStr">
        <is>
          <t>6.</t>
        </is>
      </c>
      <c r="B11" s="5" t="inlineStr">
        <is>
          <t>DASHBOARD: fill in ad spend and cost per lead. Leads, conversion, CAC, ROAS and ROI calculate instantly, all on what came in this month.</t>
        </is>
      </c>
    </row>
    <row r="13" ht="20" customHeight="1">
      <c r="A13" s="3" t="inlineStr">
        <is>
          <t>CALCULATION RULES (IMPORTANT)</t>
        </is>
      </c>
    </row>
    <row r="15" ht="30" customHeight="1">
      <c r="A15" s="6" t="inlineStr">
        <is>
          <t>Month cash</t>
        </is>
      </c>
      <c r="C15" s="5" t="inlineStr">
        <is>
          <t>EVERYTHING in the sheet uses what CAME IN this month. Monthly = the installment paid. Upfront = the full value. No projecting future months: if the customer cancels later, it doesn't contaminate the result.</t>
        </is>
      </c>
    </row>
    <row r="16" ht="30" customHeight="1">
      <c r="A16" s="6" t="inlineStr">
        <is>
          <t>Blank type</t>
        </is>
      </c>
      <c r="C16" s="5" t="inlineStr">
        <is>
          <t>If Type is left blank, the sheet treats it as MONTHLY (contract = value × months; commission on the full value entered). Only select Upfront when the customer pays it all at once.</t>
        </is>
      </c>
    </row>
    <row r="17" ht="30" customHeight="1">
      <c r="A17" s="6" t="inlineStr">
        <is>
          <t>Commission base</t>
        </is>
      </c>
      <c r="C17" s="5" t="inlineStr">
        <is>
          <t>Always the 1st MONTH's value: if Monthly, the installment itself; if Upfront, the value ÷ months (e.g., $21,000 over 3 months = $7,000 base). Upfront does NOT commission on the full value.</t>
        </is>
      </c>
    </row>
    <row r="18" ht="30" customHeight="1">
      <c r="A18" s="6" t="inlineStr">
        <is>
          <t>Rep commission</t>
        </is>
      </c>
      <c r="C18" s="5" t="inlineStr">
        <is>
          <t>The rep's % (default 30%, editable in Team) on the 1st-month base.</t>
        </is>
      </c>
    </row>
    <row r="19" ht="30" customHeight="1">
      <c r="A19" s="6" t="inlineStr">
        <is>
          <t>SDR commission</t>
        </is>
      </c>
      <c r="C19" s="5" t="inlineStr">
        <is>
          <t>If the meeting was booked by an SDR, they earn their % (default 10%, editable) on the 1st-month base.</t>
        </is>
      </c>
    </row>
    <row r="20" ht="30" customHeight="1">
      <c r="A20" s="6" t="inlineStr">
        <is>
          <t>Targets</t>
        </is>
      </c>
      <c r="C20" s="5" t="inlineStr">
        <is>
          <t>Each rep's and SDR's target is on the month's CASH (what came in), not the contract.</t>
        </is>
      </c>
    </row>
    <row r="21" ht="30" customHeight="1">
      <c r="A21" s="6" t="inlineStr">
        <is>
          <t>Total contract</t>
        </is>
      </c>
      <c r="C21" s="5" t="inlineStr">
        <is>
          <t>The 'Total contract' column is ONLY a reference to the contract size. It's not in any calculation.</t>
        </is>
      </c>
    </row>
    <row r="22" ht="30" customHeight="1">
      <c r="A22" s="6" t="inlineStr">
        <is>
          <t>ROAS</t>
        </is>
      </c>
      <c r="C22" s="5" t="inlineStr">
        <is>
          <t>Month's cash ÷ ad spend.</t>
        </is>
      </c>
    </row>
    <row r="23" ht="30" customHeight="1">
      <c r="A23" s="6" t="inlineStr">
        <is>
          <t>ROI</t>
        </is>
      </c>
      <c r="C23" s="5" t="inlineStr">
        <is>
          <t>(Cash − ad spend − payroll and commissions) ÷ (ad spend + payroll and commissions).</t>
        </is>
      </c>
    </row>
    <row r="25">
      <c r="A25" s="7" t="inlineStr">
        <is>
          <t>Usual Digital · Internal sales control</t>
        </is>
      </c>
    </row>
  </sheetData>
  <mergeCells count="29">
    <mergeCell ref="C16:H16"/>
    <mergeCell ref="A15:B15"/>
    <mergeCell ref="B9:H9"/>
    <mergeCell ref="C22:H22"/>
    <mergeCell ref="B6:H6"/>
    <mergeCell ref="A1:H1"/>
    <mergeCell ref="C21:H21"/>
    <mergeCell ref="A16:B16"/>
    <mergeCell ref="A25:H25"/>
    <mergeCell ref="C23:H23"/>
    <mergeCell ref="B7:H7"/>
    <mergeCell ref="C17:H17"/>
    <mergeCell ref="A18:B18"/>
    <mergeCell ref="A21:B21"/>
    <mergeCell ref="C19:H19"/>
    <mergeCell ref="A2:H2"/>
    <mergeCell ref="C18:H18"/>
    <mergeCell ref="B11:H11"/>
    <mergeCell ref="A17:B17"/>
    <mergeCell ref="A23:B23"/>
    <mergeCell ref="A22:B22"/>
    <mergeCell ref="C15:H15"/>
    <mergeCell ref="A4:H4"/>
    <mergeCell ref="B8:H8"/>
    <mergeCell ref="A20:B20"/>
    <mergeCell ref="A19:B19"/>
    <mergeCell ref="A13:H13"/>
    <mergeCell ref="B10:H10"/>
    <mergeCell ref="C20:H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</cols>
  <sheetData>
    <row r="1" ht="30" customHeight="1">
      <c r="A1" s="1" t="inlineStr">
        <is>
          <t>Panel · Reps</t>
        </is>
      </c>
    </row>
    <row r="2" ht="16" customHeight="1">
      <c r="A2" s="2" t="inlineStr">
        <is>
          <t>Everything on the month's CASH. Total payable = base salary + commissions (1st month).</t>
        </is>
      </c>
    </row>
    <row r="4" ht="20" customHeight="1">
      <c r="A4" s="3" t="inlineStr">
        <is>
          <t>INDIVIDUAL RESULT THIS MONTH</t>
        </is>
      </c>
    </row>
    <row r="5">
      <c r="A5" s="8" t="inlineStr">
        <is>
          <t>Indicator</t>
        </is>
      </c>
      <c r="B5" s="9">
        <f>Team!$B$6</f>
        <v/>
      </c>
      <c r="C5" s="9">
        <f>Team!$B$7</f>
        <v/>
      </c>
      <c r="D5" s="9">
        <f>Team!$B$8</f>
        <v/>
      </c>
    </row>
    <row r="6" ht="20" customHeight="1">
      <c r="A6" s="10" t="inlineStr">
        <is>
          <t>Name</t>
        </is>
      </c>
      <c r="B6" s="11">
        <f>Team!$B$6</f>
        <v/>
      </c>
      <c r="C6" s="11">
        <f>Team!$B$7</f>
        <v/>
      </c>
      <c r="D6" s="11">
        <f>Team!$B$8</f>
        <v/>
      </c>
    </row>
    <row r="7" ht="20" customHeight="1">
      <c r="A7" s="10" t="inlineStr">
        <is>
          <t>Deals closed</t>
        </is>
      </c>
      <c r="B7" s="12">
        <f>COUNTIFS(Sales!$B$5:$B$84,Team!$B$6,Sales!$F$5:$F$84,"&gt;0")</f>
        <v/>
      </c>
      <c r="C7" s="12">
        <f>COUNTIFS(Sales!$B$5:$B$84,Team!$B$7,Sales!$F$5:$F$84,"&gt;0")</f>
        <v/>
      </c>
      <c r="D7" s="12">
        <f>COUNTIFS(Sales!$B$5:$B$84,Team!$B$8,Sales!$F$5:$F$84,"&gt;0")</f>
        <v/>
      </c>
    </row>
    <row r="8" ht="20" customHeight="1">
      <c r="A8" s="10" t="inlineStr">
        <is>
          <t>Cash generated this month</t>
        </is>
      </c>
      <c r="B8" s="13">
        <f>SUMIFS(Sales!$F$5:$F$84,Sales!$B$5:$B$84,Team!$B$6)</f>
        <v/>
      </c>
      <c r="C8" s="13">
        <f>SUMIFS(Sales!$F$5:$F$84,Sales!$B$5:$B$84,Team!$B$7)</f>
        <v/>
      </c>
      <c r="D8" s="13">
        <f>SUMIFS(Sales!$F$5:$F$84,Sales!$B$5:$B$84,Team!$B$8)</f>
        <v/>
      </c>
    </row>
    <row r="9" ht="20" customHeight="1">
      <c r="A9" s="10" t="inlineStr">
        <is>
          <t>Average deal (cash)</t>
        </is>
      </c>
      <c r="B9" s="13">
        <f>IFERROR(SUMIFS(Sales!$F$5:$F$84,Sales!$B$5:$B$84,Team!$B$6)/MAX(COUNTIFS(Sales!$B$5:$B$84,Team!$B$6,Sales!$F$5:$F$84,"&gt;0"),1),0)</f>
        <v/>
      </c>
      <c r="C9" s="13">
        <f>IFERROR(SUMIFS(Sales!$F$5:$F$84,Sales!$B$5:$B$84,Team!$B$7)/MAX(COUNTIFS(Sales!$B$5:$B$84,Team!$B$7,Sales!$F$5:$F$84,"&gt;0"),1),0)</f>
        <v/>
      </c>
      <c r="D9" s="13">
        <f>IFERROR(SUMIFS(Sales!$F$5:$F$84,Sales!$B$5:$B$84,Team!$B$8)/MAX(COUNTIFS(Sales!$B$5:$B$84,Team!$B$8,Sales!$F$5:$F$84,"&gt;0"),1),0)</f>
        <v/>
      </c>
    </row>
    <row r="10" ht="20" customHeight="1">
      <c r="A10" s="10" t="inlineStr">
        <is>
          <t>Month commission</t>
        </is>
      </c>
      <c r="B10" s="14">
        <f>SUMIFS(Sales!$K$5:$K$84,Sales!$B$5:$B$84,Team!$B$6)</f>
        <v/>
      </c>
      <c r="C10" s="14">
        <f>SUMIFS(Sales!$K$5:$K$84,Sales!$B$5:$B$84,Team!$B$7)</f>
        <v/>
      </c>
      <c r="D10" s="14">
        <f>SUMIFS(Sales!$K$5:$K$84,Sales!$B$5:$B$84,Team!$B$8)</f>
        <v/>
      </c>
    </row>
    <row r="11" ht="20" customHeight="1">
      <c r="A11" s="10" t="inlineStr">
        <is>
          <t>Base salary</t>
        </is>
      </c>
      <c r="B11" s="13">
        <f>Team!$C$6</f>
        <v/>
      </c>
      <c r="C11" s="13">
        <f>Team!$C$7</f>
        <v/>
      </c>
      <c r="D11" s="13">
        <f>Team!$C$8</f>
        <v/>
      </c>
    </row>
    <row r="12" ht="20" customHeight="1">
      <c r="A12" s="10" t="inlineStr">
        <is>
          <t>TOTAL PAYABLE</t>
        </is>
      </c>
      <c r="B12" s="15">
        <f>Team!$C$6+SUMIFS(Sales!$K$5:$K$84,Sales!$B$5:$B$84,Team!$B$6)</f>
        <v/>
      </c>
      <c r="C12" s="15">
        <f>Team!$C$7+SUMIFS(Sales!$K$5:$K$84,Sales!$B$5:$B$84,Team!$B$7)</f>
        <v/>
      </c>
      <c r="D12" s="15">
        <f>Team!$C$8+SUMIFS(Sales!$K$5:$K$84,Sales!$B$5:$B$84,Team!$B$8)</f>
        <v/>
      </c>
    </row>
    <row r="13" ht="20" customHeight="1">
      <c r="A13" s="10" t="inlineStr">
        <is>
          <t>Cash target</t>
        </is>
      </c>
      <c r="B13" s="13">
        <f>Team!$E$6</f>
        <v/>
      </c>
      <c r="C13" s="13">
        <f>Team!$E$7</f>
        <v/>
      </c>
      <c r="D13" s="13">
        <f>Team!$E$8</f>
        <v/>
      </c>
    </row>
    <row r="14" ht="20" customHeight="1">
      <c r="A14" s="10" t="inlineStr">
        <is>
          <t>% of target</t>
        </is>
      </c>
      <c r="B14" s="16">
        <f>IFERROR(SUMIFS(Sales!$F$5:$F$84,Sales!$B$5:$B$84,Team!$B$6)/MAX(Team!$E$6,1),0)</f>
        <v/>
      </c>
      <c r="C14" s="16">
        <f>IFERROR(SUMIFS(Sales!$F$5:$F$84,Sales!$B$5:$B$84,Team!$B$7)/MAX(Team!$E$7,1),0)</f>
        <v/>
      </c>
      <c r="D14" s="16">
        <f>IFERROR(SUMIFS(Sales!$F$5:$F$84,Sales!$B$5:$B$84,Team!$B$8)/MAX(Team!$E$8,1),0)</f>
        <v/>
      </c>
    </row>
    <row r="15" ht="20" customHeight="1">
      <c r="A15" s="10" t="inlineStr">
        <is>
          <t>Progress</t>
        </is>
      </c>
      <c r="B15" s="17">
        <f>REPT("█",MIN(ROUND(IFERROR(SUMIFS(Sales!$F$5:$F$84,Sales!$B$5:$B$84,Team!$B$6)/MAX(Team!$E$6,1),0)*10,0),10))&amp;REPT("░",MAX(10-ROUND(IFERROR(SUMIFS(Sales!$F$5:$F$84,Sales!$B$5:$B$84,Team!$B$6)/MAX(Team!$E$6,1),0)*10,0),0))</f>
        <v/>
      </c>
      <c r="C15" s="17">
        <f>REPT("█",MIN(ROUND(IFERROR(SUMIFS(Sales!$F$5:$F$84,Sales!$B$5:$B$84,Team!$B$7)/MAX(Team!$E$7,1),0)*10,0),10))&amp;REPT("░",MAX(10-ROUND(IFERROR(SUMIFS(Sales!$F$5:$F$84,Sales!$B$5:$B$84,Team!$B$7)/MAX(Team!$E$7,1),0)*10,0),0))</f>
        <v/>
      </c>
      <c r="D15" s="17">
        <f>REPT("█",MIN(ROUND(IFERROR(SUMIFS(Sales!$F$5:$F$84,Sales!$B$5:$B$84,Team!$B$8)/MAX(Team!$E$8,1),0)*10,0),10))&amp;REPT("░",MAX(10-ROUND(IFERROR(SUMIFS(Sales!$F$5:$F$84,Sales!$B$5:$B$84,Team!$B$8)/MAX(Team!$E$8,1),0)*10,0),0))</f>
        <v/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</cols>
  <sheetData>
    <row r="1" ht="30" customHeight="1">
      <c r="A1" s="1" t="inlineStr">
        <is>
          <t>Panel · SDRs</t>
        </is>
      </c>
    </row>
    <row r="2" ht="16" customHeight="1">
      <c r="A2" s="2" t="inlineStr">
        <is>
          <t>Commission (default 10%) on the 1st month of sales booked by the SDR. Metrics on the month's CASH.</t>
        </is>
      </c>
    </row>
    <row r="4" ht="20" customHeight="1">
      <c r="A4" s="3" t="inlineStr">
        <is>
          <t>INDIVIDUAL RESULT THIS MONTH</t>
        </is>
      </c>
    </row>
    <row r="5">
      <c r="A5" s="8" t="inlineStr">
        <is>
          <t>Indicator</t>
        </is>
      </c>
      <c r="B5" s="9">
        <f>Team!$B$12</f>
        <v/>
      </c>
      <c r="C5" s="9">
        <f>Team!$B$13</f>
        <v/>
      </c>
      <c r="D5" s="9">
        <f>Team!$B$14</f>
        <v/>
      </c>
    </row>
    <row r="6" ht="20" customHeight="1">
      <c r="A6" s="10" t="inlineStr">
        <is>
          <t>Name</t>
        </is>
      </c>
      <c r="B6" s="11">
        <f>Team!$B$12</f>
        <v/>
      </c>
      <c r="C6" s="11">
        <f>Team!$B$13</f>
        <v/>
      </c>
      <c r="D6" s="11">
        <f>Team!$B$14</f>
        <v/>
      </c>
    </row>
    <row r="7" ht="20" customHeight="1">
      <c r="A7" s="10" t="inlineStr">
        <is>
          <t>Influenced deals</t>
        </is>
      </c>
      <c r="B7" s="12">
        <f>COUNTIFS(Sales!$J$5:$J$84,Team!$B$12,Sales!$I$5:$I$84,"SDR",Sales!$F$5:$F$84,"&gt;0")</f>
        <v/>
      </c>
      <c r="C7" s="12">
        <f>COUNTIFS(Sales!$J$5:$J$84,Team!$B$13,Sales!$I$5:$I$84,"SDR",Sales!$F$5:$F$84,"&gt;0")</f>
        <v/>
      </c>
      <c r="D7" s="12">
        <f>COUNTIFS(Sales!$J$5:$J$84,Team!$B$14,Sales!$I$5:$I$84,"SDR",Sales!$F$5:$F$84,"&gt;0")</f>
        <v/>
      </c>
    </row>
    <row r="8" ht="20" customHeight="1">
      <c r="A8" s="10" t="inlineStr">
        <is>
          <t>Influenced cash</t>
        </is>
      </c>
      <c r="B8" s="13">
        <f>SUMIFS(Sales!$F$5:$F$84,Sales!$J$5:$J$84,Team!$B$12,Sales!$I$5:$I$84,"SDR")</f>
        <v/>
      </c>
      <c r="C8" s="13">
        <f>SUMIFS(Sales!$F$5:$F$84,Sales!$J$5:$J$84,Team!$B$13,Sales!$I$5:$I$84,"SDR")</f>
        <v/>
      </c>
      <c r="D8" s="13">
        <f>SUMIFS(Sales!$F$5:$F$84,Sales!$J$5:$J$84,Team!$B$14,Sales!$I$5:$I$84,"SDR")</f>
        <v/>
      </c>
    </row>
    <row r="9" ht="20" customHeight="1">
      <c r="A9" s="10" t="inlineStr">
        <is>
          <t>Month commission</t>
        </is>
      </c>
      <c r="B9" s="14">
        <f>SUMIFS(Sales!$L$5:$L$84,Sales!$J$5:$J$84,Team!$B$12)</f>
        <v/>
      </c>
      <c r="C9" s="14">
        <f>SUMIFS(Sales!$L$5:$L$84,Sales!$J$5:$J$84,Team!$B$13)</f>
        <v/>
      </c>
      <c r="D9" s="14">
        <f>SUMIFS(Sales!$L$5:$L$84,Sales!$J$5:$J$84,Team!$B$14)</f>
        <v/>
      </c>
    </row>
    <row r="10" ht="20" customHeight="1">
      <c r="A10" s="10" t="inlineStr">
        <is>
          <t>Base salary</t>
        </is>
      </c>
      <c r="B10" s="13">
        <f>Team!$C$12</f>
        <v/>
      </c>
      <c r="C10" s="13">
        <f>Team!$C$13</f>
        <v/>
      </c>
      <c r="D10" s="13">
        <f>Team!$C$14</f>
        <v/>
      </c>
    </row>
    <row r="11" ht="20" customHeight="1">
      <c r="A11" s="10" t="inlineStr">
        <is>
          <t>TOTAL PAYABLE</t>
        </is>
      </c>
      <c r="B11" s="15">
        <f>Team!$C$12+SUMIFS(Sales!$L$5:$L$84,Sales!$J$5:$J$84,Team!$B$12)</f>
        <v/>
      </c>
      <c r="C11" s="15">
        <f>Team!$C$13+SUMIFS(Sales!$L$5:$L$84,Sales!$J$5:$J$84,Team!$B$13)</f>
        <v/>
      </c>
      <c r="D11" s="15">
        <f>Team!$C$14+SUMIFS(Sales!$L$5:$L$84,Sales!$J$5:$J$84,Team!$B$14)</f>
        <v/>
      </c>
    </row>
    <row r="12" ht="20" customHeight="1">
      <c r="A12" s="10" t="inlineStr">
        <is>
          <t>Target (influenced cash)</t>
        </is>
      </c>
      <c r="B12" s="13">
        <f>Team!$E$12</f>
        <v/>
      </c>
      <c r="C12" s="13">
        <f>Team!$E$13</f>
        <v/>
      </c>
      <c r="D12" s="13">
        <f>Team!$E$14</f>
        <v/>
      </c>
    </row>
    <row r="13" ht="20" customHeight="1">
      <c r="A13" s="10" t="inlineStr">
        <is>
          <t>% of target</t>
        </is>
      </c>
      <c r="B13" s="16">
        <f>IFERROR(SUMIFS(Sales!$F$5:$F$84,Sales!$J$5:$J$84,Team!$B$12,Sales!$I$5:$I$84,"SDR")/MAX(Team!$E$12,1),0)</f>
        <v/>
      </c>
      <c r="C13" s="16">
        <f>IFERROR(SUMIFS(Sales!$F$5:$F$84,Sales!$J$5:$J$84,Team!$B$13,Sales!$I$5:$I$84,"SDR")/MAX(Team!$E$13,1),0)</f>
        <v/>
      </c>
      <c r="D13" s="16">
        <f>IFERROR(SUMIFS(Sales!$F$5:$F$84,Sales!$J$5:$J$84,Team!$B$14,Sales!$I$5:$I$84,"SDR")/MAX(Team!$E$14,1),0)</f>
        <v/>
      </c>
    </row>
    <row r="14" ht="20" customHeight="1">
      <c r="A14" s="10" t="inlineStr">
        <is>
          <t>Progress</t>
        </is>
      </c>
      <c r="B14" s="17">
        <f>REPT("█",MIN(ROUND(IFERROR(SUMIFS(Sales!$F$5:$F$84,Sales!$J$5:$J$84,Team!$B$12,Sales!$I$5:$I$84,"SDR")/MAX(Team!$E$12,1),0)*10,0),10))&amp;REPT("░",MAX(10-ROUND(IFERROR(SUMIFS(Sales!$F$5:$F$84,Sales!$J$5:$J$84,Team!$B$12,Sales!$I$5:$I$84,"SDR")/MAX(Team!$E$12,1),0)*10,0),0))</f>
        <v/>
      </c>
      <c r="C14" s="17">
        <f>REPT("█",MIN(ROUND(IFERROR(SUMIFS(Sales!$F$5:$F$84,Sales!$J$5:$J$84,Team!$B$13,Sales!$I$5:$I$84,"SDR")/MAX(Team!$E$13,1),0)*10,0),10))&amp;REPT("░",MAX(10-ROUND(IFERROR(SUMIFS(Sales!$F$5:$F$84,Sales!$J$5:$J$84,Team!$B$13,Sales!$I$5:$I$84,"SDR")/MAX(Team!$E$13,1),0)*10,0),0))</f>
        <v/>
      </c>
      <c r="D14" s="17">
        <f>REPT("█",MIN(ROUND(IFERROR(SUMIFS(Sales!$F$5:$F$84,Sales!$J$5:$J$84,Team!$B$14,Sales!$I$5:$I$84,"SDR")/MAX(Team!$E$14,1),0)*10,0),10))&amp;REPT("░",MAX(10-ROUND(IFERROR(SUMIFS(Sales!$F$5:$F$84,Sales!$J$5:$J$84,Team!$B$14,Sales!$I$5:$I$84,"SDR")/MAX(Team!$E$14,1),0)*10,0),0))</f>
        <v/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0" customWidth="1" min="5" max="5"/>
    <col width="14" customWidth="1" min="10" max="10"/>
    <col width="12" customWidth="1" min="11" max="11"/>
    <col width="12" customWidth="1" min="12" max="12"/>
  </cols>
  <sheetData>
    <row r="1" ht="30" customHeight="1">
      <c r="A1" s="1" t="inlineStr">
        <is>
          <t>Sales Ranking · auto-updating</t>
        </is>
      </c>
    </row>
    <row r="2" ht="16" customHeight="1">
      <c r="A2" s="2" t="inlineStr">
        <is>
          <t>The month's champion by CASH generated. Updates with every sale logged.</t>
        </is>
      </c>
    </row>
    <row r="4" ht="20" customHeight="1">
      <c r="A4" s="3" t="inlineStr">
        <is>
          <t>REPS · CHAMPIONS OF THE MONTH</t>
        </is>
      </c>
      <c r="J4" s="18" t="inlineStr">
        <is>
          <t>helper</t>
        </is>
      </c>
    </row>
    <row r="5">
      <c r="A5" s="9" t="inlineStr">
        <is>
          <t>Position</t>
        </is>
      </c>
      <c r="B5" s="9" t="inlineStr">
        <is>
          <t>Rep</t>
        </is>
      </c>
      <c r="C5" s="9" t="inlineStr">
        <is>
          <t>Deals</t>
        </is>
      </c>
      <c r="D5" s="9" t="inlineStr">
        <is>
          <t>Cash generated</t>
        </is>
      </c>
      <c r="E5" s="19" t="n"/>
      <c r="J5">
        <f>Team!$B$6</f>
        <v/>
      </c>
      <c r="K5">
        <f>SUMIFS(Sales!$F$5:$F$84,Sales!$B$5:$B$84,Team!$B$6)</f>
        <v/>
      </c>
      <c r="L5">
        <f>K5+3*0.0001</f>
        <v/>
      </c>
    </row>
    <row r="6" ht="24" customHeight="1">
      <c r="A6" s="20" t="inlineStr">
        <is>
          <t>🥇 1st</t>
        </is>
      </c>
      <c r="B6" s="21">
        <f>INDEX($J$5:$J$7,MATCH(LARGE($L$5:$L$7,1),$L$5:$L$7,0))</f>
        <v/>
      </c>
      <c r="C6" s="22">
        <f>COUNTIFS(Sales!$B$5:$B$84,$B6,Sales!$F$5:$F$84,"&gt;0")</f>
        <v/>
      </c>
      <c r="D6" s="23">
        <f>SUMIFS(Sales!$F$5:$F$84,Sales!$B$5:$B$84,$B6)</f>
        <v/>
      </c>
      <c r="E6" s="19" t="n"/>
      <c r="J6">
        <f>Team!$B$7</f>
        <v/>
      </c>
      <c r="K6">
        <f>SUMIFS(Sales!$F$5:$F$84,Sales!$B$5:$B$84,Team!$B$7)</f>
        <v/>
      </c>
      <c r="L6">
        <f>K6+2*0.0001</f>
        <v/>
      </c>
    </row>
    <row r="7" ht="24" customHeight="1">
      <c r="A7" s="24" t="inlineStr">
        <is>
          <t>🥈 2nd</t>
        </is>
      </c>
      <c r="B7" s="25">
        <f>INDEX($J$5:$J$7,MATCH(LARGE($L$5:$L$7,2),$L$5:$L$7,0))</f>
        <v/>
      </c>
      <c r="C7" s="22">
        <f>COUNTIFS(Sales!$B$5:$B$84,$B7,Sales!$F$5:$F$84,"&gt;0")</f>
        <v/>
      </c>
      <c r="D7" s="23">
        <f>SUMIFS(Sales!$F$5:$F$84,Sales!$B$5:$B$84,$B7)</f>
        <v/>
      </c>
      <c r="E7" s="19" t="n"/>
      <c r="J7">
        <f>Team!$B$8</f>
        <v/>
      </c>
      <c r="K7">
        <f>SUMIFS(Sales!$F$5:$F$84,Sales!$B$5:$B$84,Team!$B$8)</f>
        <v/>
      </c>
      <c r="L7">
        <f>K7+1*0.0001</f>
        <v/>
      </c>
    </row>
    <row r="8" ht="24" customHeight="1">
      <c r="A8" s="24" t="inlineStr">
        <is>
          <t>🥉 3rd</t>
        </is>
      </c>
      <c r="B8" s="25">
        <f>INDEX($J$5:$J$7,MATCH(LARGE($L$5:$L$7,3),$L$5:$L$7,0))</f>
        <v/>
      </c>
      <c r="C8" s="22">
        <f>COUNTIFS(Sales!$B$5:$B$84,$B8,Sales!$F$5:$F$84,"&gt;0")</f>
        <v/>
      </c>
      <c r="D8" s="23">
        <f>SUMIFS(Sales!$F$5:$F$84,Sales!$B$5:$B$84,$B8)</f>
        <v/>
      </c>
      <c r="E8" s="19" t="n"/>
    </row>
    <row r="9">
      <c r="J9">
        <f>Team!$B$12</f>
        <v/>
      </c>
      <c r="K9">
        <f>SUMIFS(Sales!$F$5:$F$84,Sales!$J$5:$J$84,Team!$B$12,Sales!$I$5:$I$84,"SDR")</f>
        <v/>
      </c>
      <c r="L9">
        <f>K9+3*0.0001</f>
        <v/>
      </c>
    </row>
    <row r="10" ht="20" customHeight="1">
      <c r="A10" s="3" t="inlineStr">
        <is>
          <t>SDRS · BOOKING CHAMPIONS THAT BECAME SALES</t>
        </is>
      </c>
      <c r="J10">
        <f>Team!$B$13</f>
        <v/>
      </c>
      <c r="K10">
        <f>SUMIFS(Sales!$F$5:$F$84,Sales!$J$5:$J$84,Team!$B$13,Sales!$I$5:$I$84,"SDR")</f>
        <v/>
      </c>
      <c r="L10">
        <f>K10+2*0.0001</f>
        <v/>
      </c>
    </row>
    <row r="11">
      <c r="A11" s="9" t="inlineStr">
        <is>
          <t>Position</t>
        </is>
      </c>
      <c r="B11" s="9" t="inlineStr">
        <is>
          <t>SDR</t>
        </is>
      </c>
      <c r="C11" s="9" t="inlineStr">
        <is>
          <t>Influenced deals</t>
        </is>
      </c>
      <c r="D11" s="9" t="inlineStr">
        <is>
          <t>Influenced cash</t>
        </is>
      </c>
      <c r="E11" s="19" t="n"/>
      <c r="J11">
        <f>Team!$B$14</f>
        <v/>
      </c>
      <c r="K11">
        <f>SUMIFS(Sales!$F$5:$F$84,Sales!$J$5:$J$84,Team!$B$14,Sales!$I$5:$I$84,"SDR")</f>
        <v/>
      </c>
      <c r="L11">
        <f>K11+1*0.0001</f>
        <v/>
      </c>
    </row>
    <row r="12" ht="24" customHeight="1">
      <c r="A12" s="20" t="inlineStr">
        <is>
          <t>🥇 1st</t>
        </is>
      </c>
      <c r="B12" s="21">
        <f>INDEX($J$9:$J$11,MATCH(LARGE($L$9:$L$11,1),$L$9:$L$11,0))</f>
        <v/>
      </c>
      <c r="C12" s="22">
        <f>COUNTIFS(Sales!$J$5:$J$84,$B12,Sales!$I$5:$I$84,"SDR",Sales!$F$5:$F$84,"&gt;0")</f>
        <v/>
      </c>
      <c r="D12" s="23">
        <f>SUMIFS(Sales!$F$5:$F$84,Sales!$J$5:$J$84,$B12,Sales!$I$5:$I$84,"SDR")</f>
        <v/>
      </c>
      <c r="E12" s="19" t="n"/>
    </row>
    <row r="13" ht="24" customHeight="1">
      <c r="A13" s="24" t="inlineStr">
        <is>
          <t>🥈 2nd</t>
        </is>
      </c>
      <c r="B13" s="25">
        <f>INDEX($J$9:$J$11,MATCH(LARGE($L$9:$L$11,2),$L$9:$L$11,0))</f>
        <v/>
      </c>
      <c r="C13" s="22">
        <f>COUNTIFS(Sales!$J$5:$J$84,$B13,Sales!$I$5:$I$84,"SDR",Sales!$F$5:$F$84,"&gt;0")</f>
        <v/>
      </c>
      <c r="D13" s="23">
        <f>SUMIFS(Sales!$F$5:$F$84,Sales!$J$5:$J$84,$B13,Sales!$I$5:$I$84,"SDR")</f>
        <v/>
      </c>
      <c r="E13" s="19" t="n"/>
    </row>
    <row r="14" ht="24" customHeight="1">
      <c r="A14" s="24" t="inlineStr">
        <is>
          <t>🥉 3rd</t>
        </is>
      </c>
      <c r="B14" s="25">
        <f>INDEX($J$9:$J$11,MATCH(LARGE($L$9:$L$11,3),$L$9:$L$11,0))</f>
        <v/>
      </c>
      <c r="C14" s="22">
        <f>COUNTIFS(Sales!$J$5:$J$84,$B14,Sales!$I$5:$I$84,"SDR",Sales!$F$5:$F$84,"&gt;0")</f>
        <v/>
      </c>
      <c r="D14" s="23">
        <f>SUMIFS(Sales!$F$5:$F$84,Sales!$J$5:$J$84,$B14,Sales!$I$5:$I$84,"SDR")</f>
        <v/>
      </c>
      <c r="E14" s="19" t="n"/>
    </row>
  </sheetData>
  <mergeCells count="12">
    <mergeCell ref="D8:E8"/>
    <mergeCell ref="A4:H4"/>
    <mergeCell ref="D6:E6"/>
    <mergeCell ref="D7:E7"/>
    <mergeCell ref="D11:E11"/>
    <mergeCell ref="A2:H2"/>
    <mergeCell ref="D13:E13"/>
    <mergeCell ref="D5:E5"/>
    <mergeCell ref="A10:H10"/>
    <mergeCell ref="D14:E14"/>
    <mergeCell ref="A1:H1"/>
    <mergeCell ref="D12:E1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6" customWidth="1" min="12" max="12"/>
    <col width="12" customWidth="1" min="13" max="13"/>
  </cols>
  <sheetData>
    <row r="1" ht="30" customHeight="1">
      <c r="A1" s="1" t="inlineStr">
        <is>
          <t>Sales Dashboard · the month's cash on one screen</t>
        </is>
      </c>
    </row>
    <row r="2" ht="16" customHeight="1">
      <c r="A2" s="2" t="inlineStr">
        <is>
          <t>Fill only the yellow cells (marketing). Everything calculates on what CAME IN this month.</t>
        </is>
      </c>
    </row>
    <row r="4" ht="20" customHeight="1">
      <c r="A4" s="3" t="inlineStr">
        <is>
          <t>MONTH INPUTS (EDIT)</t>
        </is>
      </c>
      <c r="L4" s="18" t="inlineStr">
        <is>
          <t>helper</t>
        </is>
      </c>
    </row>
    <row r="5" ht="20" customHeight="1">
      <c r="A5" s="10" t="inlineStr">
        <is>
          <t>Reference month</t>
        </is>
      </c>
      <c r="B5" s="26" t="inlineStr">
        <is>
          <t>July/2026</t>
        </is>
      </c>
      <c r="D5" s="10" t="inlineStr">
        <is>
          <t>Ad spend</t>
        </is>
      </c>
      <c r="E5" s="27" t="n">
        <v>5000</v>
      </c>
      <c r="G5" s="10" t="inlineStr">
        <is>
          <t>Cost per lead ($)</t>
        </is>
      </c>
      <c r="H5" s="28" t="n">
        <v>25</v>
      </c>
      <c r="L5" t="inlineStr">
        <is>
          <t>Booked: SDR</t>
        </is>
      </c>
      <c r="M5">
        <f>SUMIFS(Sales!$F$5:$F$84,Sales!$I$5:$I$84,"SDR")</f>
        <v/>
      </c>
    </row>
    <row r="6" ht="18" customHeight="1">
      <c r="A6" s="10" t="inlineStr">
        <is>
          <t>Other sales costs</t>
        </is>
      </c>
      <c r="B6" s="27" t="n">
        <v>0</v>
      </c>
      <c r="D6" s="29" t="inlineStr">
        <is>
          <t>(tools, bonuses, prizes...)</t>
        </is>
      </c>
      <c r="L6" t="inlineStr">
        <is>
          <t>Booked: Rep</t>
        </is>
      </c>
      <c r="M6">
        <f>SUMIFS(Sales!$F$5:$F$84,Sales!$I$5:$I$84,"Rep")</f>
        <v/>
      </c>
    </row>
    <row r="8" ht="20" customHeight="1">
      <c r="A8" s="3" t="inlineStr">
        <is>
          <t>MONTH CASH</t>
        </is>
      </c>
      <c r="L8" t="inlineStr">
        <is>
          <t>Installments</t>
        </is>
      </c>
      <c r="M8">
        <f>SUM(Sales!$F$5:$F$84)-SUMIFS(Sales!$F$5:$F$84,Sales!$E$5:$E$84,"Upfront")</f>
        <v/>
      </c>
    </row>
    <row r="9" ht="26" customHeight="1">
      <c r="A9" s="30">
        <f>SUM(Sales!$F$5:$F$84)</f>
        <v/>
      </c>
      <c r="B9" s="19" t="n"/>
      <c r="C9" s="31">
        <f>COUNTIF(Sales!$F$5:$F$84,"&gt;0")</f>
        <v/>
      </c>
      <c r="D9" s="19" t="n"/>
      <c r="E9" s="32">
        <f>SUM(Sales!$F$5:$F$84)-SUMIFS(Sales!$F$5:$F$84,Sales!$E$5:$E$84,"Upfront")</f>
        <v/>
      </c>
      <c r="F9" s="19" t="n"/>
      <c r="G9" s="32">
        <f>SUMIFS(Sales!$F$5:$F$84,Sales!$E$5:$E$84,"Upfront")</f>
        <v/>
      </c>
      <c r="H9" s="19" t="n"/>
      <c r="I9" s="32">
        <f>IFERROR(SUM(Sales!$F$5:$F$84)/MAX(COUNTIF(Sales!$F$5:$F$84,"&gt;0"),1),0)</f>
        <v/>
      </c>
      <c r="J9" s="19" t="n"/>
      <c r="L9" t="inlineStr">
        <is>
          <t>Upfront</t>
        </is>
      </c>
      <c r="M9">
        <f>SUMIFS(Sales!$F$5:$F$84,Sales!$E$5:$E$84,"Upfront")</f>
        <v/>
      </c>
    </row>
    <row r="10" ht="16" customHeight="1">
      <c r="A10" s="33" t="inlineStr">
        <is>
          <t>CASH IN (month)</t>
        </is>
      </c>
      <c r="B10" s="19" t="n"/>
      <c r="C10" s="33" t="inlineStr">
        <is>
          <t>Deals closed</t>
        </is>
      </c>
      <c r="D10" s="19" t="n"/>
      <c r="E10" s="33" t="inlineStr">
        <is>
          <t>Recurring revenue (installments)</t>
        </is>
      </c>
      <c r="F10" s="19" t="n"/>
      <c r="G10" s="33" t="inlineStr">
        <is>
          <t>Upfront revenue</t>
        </is>
      </c>
      <c r="H10" s="19" t="n"/>
      <c r="I10" s="33" t="inlineStr">
        <is>
          <t>Average deal (cash)</t>
        </is>
      </c>
      <c r="J10" s="19" t="n"/>
    </row>
    <row r="11" ht="26" customHeight="1">
      <c r="A11" s="30">
        <f>IFERROR(SUM(Sales!$H$5:$H$84)/MAX(COUNTIF(Sales!$F$5:$F$84,"&gt;0"),1),0)</f>
        <v/>
      </c>
      <c r="B11" s="19" t="n"/>
      <c r="C11" s="31">
        <f>COUNTIFS(Sales!$I$5:$I$84,"SDR",Sales!$F$5:$F$84,"&gt;0")</f>
        <v/>
      </c>
      <c r="D11" s="19" t="n"/>
      <c r="E11" s="31">
        <f>COUNTIFS(Sales!$I$5:$I$84,"Rep",Sales!$F$5:$F$84,"&gt;0")</f>
        <v/>
      </c>
      <c r="F11" s="19" t="n"/>
    </row>
    <row r="12" ht="16" customHeight="1">
      <c r="A12" s="33" t="inlineStr">
        <is>
          <t>Average MONTHLY deal (1st month; upfront ÷ months)</t>
        </is>
      </c>
      <c r="B12" s="19" t="n"/>
      <c r="C12" s="33" t="inlineStr">
        <is>
          <t>Deals via SDR</t>
        </is>
      </c>
      <c r="D12" s="19" t="n"/>
      <c r="E12" s="33" t="inlineStr">
        <is>
          <t>Deals direct from rep</t>
        </is>
      </c>
      <c r="F12" s="19" t="n"/>
    </row>
    <row r="14" ht="20" customHeight="1">
      <c r="A14" s="3" t="inlineStr">
        <is>
          <t>MARKETING FUNNEL AND EFFICIENCY</t>
        </is>
      </c>
    </row>
    <row r="15" ht="26" customHeight="1">
      <c r="A15" s="31">
        <f>IFERROR(ROUND($E$5/MAX($H$5,0.01),0),0)</f>
        <v/>
      </c>
      <c r="B15" s="19" t="n"/>
      <c r="C15" s="34">
        <f>IFERROR(COUNTIF(Sales!$F$5:$F$84,"&gt;0")/MAX(ROUND($E$5/MAX($H$5,0.01),0),1),0)</f>
        <v/>
      </c>
      <c r="D15" s="19" t="n"/>
      <c r="E15" s="32">
        <f>IFERROR($E$5/MAX(COUNTIF(Sales!$F$5:$F$84,"&gt;0"),1),0)</f>
        <v/>
      </c>
      <c r="F15" s="19" t="n"/>
      <c r="G15" s="35">
        <f>IFERROR(SUM(Sales!$F$5:$F$84)/MAX($E$5,1),0)</f>
        <v/>
      </c>
      <c r="H15" s="19" t="n"/>
      <c r="I15" s="36">
        <f>IFERROR((SUM(Sales!$F$5:$F$84)-$E$5-((SUM(Team!$C$6:$C$8)+SUM(Team!$C$12:$C$14))+(SUM(Sales!$K$5:$K$84)+SUM(Sales!$L$5:$L$84))+$B$6))/MAX($E$5+((SUM(Team!$C$6:$C$8)+SUM(Team!$C$12:$C$14))+(SUM(Sales!$K$5:$K$84)+SUM(Sales!$L$5:$L$84))+$B$6),1),0)</f>
        <v/>
      </c>
      <c r="J15" s="19" t="n"/>
    </row>
    <row r="16" ht="16" customHeight="1">
      <c r="A16" s="33" t="inlineStr">
        <is>
          <t>Leads generated</t>
        </is>
      </c>
      <c r="B16" s="19" t="n"/>
      <c r="C16" s="33" t="inlineStr">
        <is>
          <t>Lead → sale conversion</t>
        </is>
      </c>
      <c r="D16" s="19" t="n"/>
      <c r="E16" s="33" t="inlineStr">
        <is>
          <t>CAC (cost per sale)</t>
        </is>
      </c>
      <c r="F16" s="19" t="n"/>
      <c r="G16" s="33" t="inlineStr">
        <is>
          <t>ROAS (cash ÷ spend)</t>
        </is>
      </c>
      <c r="H16" s="19" t="n"/>
      <c r="I16" s="33" t="inlineStr">
        <is>
          <t>ROI (with payroll)</t>
        </is>
      </c>
      <c r="J16" s="19" t="n"/>
    </row>
    <row r="18" ht="20" customHeight="1">
      <c r="A18" s="3" t="inlineStr">
        <is>
          <t>SALES COSTS AND PROFIT (MONTH)</t>
        </is>
      </c>
    </row>
    <row r="19" ht="26" customHeight="1">
      <c r="A19" s="32">
        <f>(SUM(Team!$C$6:$C$8)+SUM(Team!$C$12:$C$14))</f>
        <v/>
      </c>
      <c r="B19" s="19" t="n"/>
      <c r="C19" s="32">
        <f>(SUM(Sales!$K$5:$K$84)+SUM(Sales!$L$5:$L$84))</f>
        <v/>
      </c>
      <c r="D19" s="19" t="n"/>
      <c r="E19" s="32">
        <f>((SUM(Team!$C$6:$C$8)+SUM(Team!$C$12:$C$14))+(SUM(Sales!$K$5:$K$84)+SUM(Sales!$L$5:$L$84))+$B$6)</f>
        <v/>
      </c>
      <c r="F19" s="19" t="n"/>
      <c r="G19" s="32">
        <f>$E$5</f>
        <v/>
      </c>
      <c r="H19" s="19" t="n"/>
      <c r="I19" s="30">
        <f>SUM(Sales!$F$5:$F$84)-$E$5-((SUM(Team!$C$6:$C$8)+SUM(Team!$C$12:$C$14))+(SUM(Sales!$K$5:$K$84)+SUM(Sales!$L$5:$L$84))+$B$6)</f>
        <v/>
      </c>
      <c r="J19" s="19" t="n"/>
    </row>
    <row r="20" ht="16" customHeight="1">
      <c r="A20" s="33" t="inlineStr">
        <is>
          <t>Payroll (salaries)</t>
        </is>
      </c>
      <c r="B20" s="19" t="n"/>
      <c r="C20" s="33" t="inlineStr">
        <is>
          <t>Month commissions</t>
        </is>
      </c>
      <c r="D20" s="19" t="n"/>
      <c r="E20" s="33" t="inlineStr">
        <is>
          <t>Total sales cost</t>
        </is>
      </c>
      <c r="F20" s="19" t="n"/>
      <c r="G20" s="33" t="inlineStr">
        <is>
          <t>Ad spend invested</t>
        </is>
      </c>
      <c r="H20" s="19" t="n"/>
      <c r="I20" s="33" t="inlineStr">
        <is>
          <t>Month PROFIT (cash)</t>
        </is>
      </c>
      <c r="J20" s="19" t="n"/>
    </row>
    <row r="22" ht="20" customHeight="1">
      <c r="A22" s="3" t="inlineStr">
        <is>
          <t>CHARTS</t>
        </is>
      </c>
    </row>
  </sheetData>
  <mergeCells count="44">
    <mergeCell ref="E12:F12"/>
    <mergeCell ref="A8:J8"/>
    <mergeCell ref="A14:J14"/>
    <mergeCell ref="A15:B15"/>
    <mergeCell ref="C15:D15"/>
    <mergeCell ref="I15:J15"/>
    <mergeCell ref="A22:J22"/>
    <mergeCell ref="A11:B11"/>
    <mergeCell ref="A4:J4"/>
    <mergeCell ref="C20:D20"/>
    <mergeCell ref="A16:B16"/>
    <mergeCell ref="D6:H6"/>
    <mergeCell ref="C10:D10"/>
    <mergeCell ref="C16:D16"/>
    <mergeCell ref="I16:J16"/>
    <mergeCell ref="E10:F10"/>
    <mergeCell ref="E20:F20"/>
    <mergeCell ref="G10:H10"/>
    <mergeCell ref="E19:F19"/>
    <mergeCell ref="G19:H19"/>
    <mergeCell ref="C9:D9"/>
    <mergeCell ref="E9:F9"/>
    <mergeCell ref="A12:B12"/>
    <mergeCell ref="A1:J1"/>
    <mergeCell ref="C12:D12"/>
    <mergeCell ref="E15:F15"/>
    <mergeCell ref="C11:D11"/>
    <mergeCell ref="G15:H15"/>
    <mergeCell ref="E11:F11"/>
    <mergeCell ref="A20:B20"/>
    <mergeCell ref="G20:H20"/>
    <mergeCell ref="E16:F16"/>
    <mergeCell ref="I20:J20"/>
    <mergeCell ref="G16:H16"/>
    <mergeCell ref="I10:J10"/>
    <mergeCell ref="A18:J18"/>
    <mergeCell ref="A19:B19"/>
    <mergeCell ref="A10:B10"/>
    <mergeCell ref="C19:D19"/>
    <mergeCell ref="I19:J19"/>
    <mergeCell ref="A2:J2"/>
    <mergeCell ref="A9:B9"/>
    <mergeCell ref="G9:H9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.5" customWidth="1" min="1" max="1"/>
    <col width="20" customWidth="1" min="2" max="2"/>
    <col width="14" customWidth="1" min="3" max="3"/>
    <col width="15" customWidth="1" min="4" max="4"/>
    <col width="24" customWidth="1" min="5" max="5"/>
  </cols>
  <sheetData>
    <row r="1" ht="30" customHeight="1">
      <c r="A1" s="1" t="inlineStr">
        <is>
          <t>Team · Salaries, Commissions and Targets</t>
        </is>
      </c>
    </row>
    <row r="2" ht="16" customHeight="1">
      <c r="A2" s="2" t="inlineStr">
        <is>
          <t>Edit the yellow fields. Targets are month CASH. Names feed the dropdowns in the Sales tab.</t>
        </is>
      </c>
    </row>
    <row r="4" ht="20" customHeight="1">
      <c r="A4" s="3" t="inlineStr">
        <is>
          <t>REPS (CLOSERS)</t>
        </is>
      </c>
    </row>
    <row r="5">
      <c r="A5" s="9" t="inlineStr">
        <is>
          <t>#</t>
        </is>
      </c>
      <c r="B5" s="9" t="inlineStr">
        <is>
          <t>Name</t>
        </is>
      </c>
      <c r="C5" s="9" t="inlineStr">
        <is>
          <t>Base salary</t>
        </is>
      </c>
      <c r="D5" s="9" t="inlineStr">
        <is>
          <t>Commission % (1st month)</t>
        </is>
      </c>
      <c r="E5" s="9" t="inlineStr">
        <is>
          <t>Month cash target ($)</t>
        </is>
      </c>
    </row>
    <row r="6" ht="20" customHeight="1">
      <c r="A6" s="37" t="n">
        <v>1</v>
      </c>
      <c r="B6" s="26" t="inlineStr">
        <is>
          <t>Rep 1</t>
        </is>
      </c>
      <c r="C6" s="27" t="n">
        <v>2500</v>
      </c>
      <c r="D6" s="38" t="n">
        <v>0.3</v>
      </c>
      <c r="E6" s="27" t="n">
        <v>50000</v>
      </c>
    </row>
    <row r="7" ht="20" customHeight="1">
      <c r="A7" s="37" t="n">
        <v>2</v>
      </c>
      <c r="B7" s="26" t="inlineStr">
        <is>
          <t>Rep 2</t>
        </is>
      </c>
      <c r="C7" s="27" t="n">
        <v>2500</v>
      </c>
      <c r="D7" s="38" t="n">
        <v>0.3</v>
      </c>
      <c r="E7" s="27" t="n">
        <v>50000</v>
      </c>
    </row>
    <row r="8" ht="20" customHeight="1">
      <c r="A8" s="37" t="n">
        <v>3</v>
      </c>
      <c r="B8" s="26" t="inlineStr">
        <is>
          <t>Rep 3</t>
        </is>
      </c>
      <c r="C8" s="27" t="n">
        <v>2500</v>
      </c>
      <c r="D8" s="38" t="n">
        <v>0.3</v>
      </c>
      <c r="E8" s="27" t="n">
        <v>50000</v>
      </c>
    </row>
    <row r="10" ht="20" customHeight="1">
      <c r="A10" s="3" t="inlineStr">
        <is>
          <t>SDRS (PRE-SALES)</t>
        </is>
      </c>
    </row>
    <row r="11">
      <c r="A11" s="9" t="inlineStr">
        <is>
          <t>#</t>
        </is>
      </c>
      <c r="B11" s="9" t="inlineStr">
        <is>
          <t>Name</t>
        </is>
      </c>
      <c r="C11" s="9" t="inlineStr">
        <is>
          <t>Base salary</t>
        </is>
      </c>
      <c r="D11" s="9" t="inlineStr">
        <is>
          <t>Commission % (1st month)</t>
        </is>
      </c>
      <c r="E11" s="9" t="inlineStr">
        <is>
          <t>Influenced cash target ($)</t>
        </is>
      </c>
    </row>
    <row r="12" ht="20" customHeight="1">
      <c r="A12" s="37" t="n">
        <v>1</v>
      </c>
      <c r="B12" s="26" t="inlineStr">
        <is>
          <t>SDR 1</t>
        </is>
      </c>
      <c r="C12" s="27" t="n">
        <v>1800</v>
      </c>
      <c r="D12" s="38" t="n">
        <v>0.1</v>
      </c>
      <c r="E12" s="27" t="n">
        <v>40000</v>
      </c>
    </row>
    <row r="13" ht="20" customHeight="1">
      <c r="A13" s="37" t="n">
        <v>2</v>
      </c>
      <c r="B13" s="26" t="inlineStr">
        <is>
          <t>SDR 2</t>
        </is>
      </c>
      <c r="C13" s="27" t="n">
        <v>1800</v>
      </c>
      <c r="D13" s="38" t="n">
        <v>0.1</v>
      </c>
      <c r="E13" s="27" t="n">
        <v>40000</v>
      </c>
    </row>
    <row r="14" ht="20" customHeight="1">
      <c r="A14" s="37" t="n">
        <v>3</v>
      </c>
      <c r="B14" s="26" t="inlineStr">
        <is>
          <t>SDR 3</t>
        </is>
      </c>
      <c r="C14" s="27" t="n">
        <v>1800</v>
      </c>
      <c r="D14" s="38" t="n">
        <v>0.1</v>
      </c>
      <c r="E14" s="27" t="n">
        <v>40000</v>
      </c>
    </row>
    <row r="16">
      <c r="A16" s="39" t="inlineStr">
        <is>
          <t>Tip: when you hire someone new, just change the name here and the dropdowns and panels follow.</t>
        </is>
      </c>
    </row>
  </sheetData>
  <mergeCells count="5">
    <mergeCell ref="A2:F2"/>
    <mergeCell ref="A10:F10"/>
    <mergeCell ref="A16:E16"/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0" customWidth="1" min="4" max="4"/>
    <col width="10" customWidth="1" min="5" max="5"/>
    <col width="15" customWidth="1" min="6" max="6"/>
    <col width="7.5" customWidth="1" min="7" max="7"/>
    <col width="14" customWidth="1" min="8" max="8"/>
    <col width="12" customWidth="1" min="9" max="9"/>
    <col width="14" customWidth="1" min="10" max="10"/>
    <col width="13" customWidth="1" min="11" max="11"/>
    <col width="12" customWidth="1" min="12" max="12"/>
    <col width="15" customWidth="1" min="13" max="13"/>
    <col width="18" customWidth="1" min="14" max="14"/>
  </cols>
  <sheetData>
    <row r="1" ht="30" customHeight="1">
      <c r="A1" s="1" t="inlineStr">
        <is>
          <t>Sales This Month · logging</t>
        </is>
      </c>
    </row>
    <row r="2" ht="16" customHeight="1">
      <c r="A2" s="2" t="inlineStr">
        <is>
          <t>One sale per row. CASH PAID THIS MONTH: if Monthly, enter the installment paid; if Upfront, the full value that came in. Months = contract length (max 12).</t>
        </is>
      </c>
    </row>
    <row r="4" ht="28" customHeight="1">
      <c r="A4" s="9" t="inlineStr">
        <is>
          <t>Date</t>
        </is>
      </c>
      <c r="B4" s="9" t="inlineStr">
        <is>
          <t>Rep</t>
        </is>
      </c>
      <c r="C4" s="9" t="inlineStr">
        <is>
          <t>Customer</t>
        </is>
      </c>
      <c r="D4" s="9" t="inlineStr">
        <is>
          <t>Company</t>
        </is>
      </c>
      <c r="E4" s="9" t="inlineStr">
        <is>
          <t>Type</t>
        </is>
      </c>
      <c r="F4" s="9" t="inlineStr">
        <is>
          <t>Cash paid this month ($)</t>
        </is>
      </c>
      <c r="G4" s="9" t="inlineStr">
        <is>
          <t>Months</t>
        </is>
      </c>
      <c r="H4" s="9" t="inlineStr">
        <is>
          <t>Commission base (1st month)</t>
        </is>
      </c>
      <c r="I4" s="9" t="inlineStr">
        <is>
          <t>Who booked</t>
        </is>
      </c>
      <c r="J4" s="9" t="inlineStr">
        <is>
          <t>SDR (if SDR)</t>
        </is>
      </c>
      <c r="K4" s="9" t="inlineStr">
        <is>
          <t>Rep commission</t>
        </is>
      </c>
      <c r="L4" s="9" t="inlineStr">
        <is>
          <t>SDR commission</t>
        </is>
      </c>
      <c r="M4" s="9" t="inlineStr">
        <is>
          <t>Total contract (reference)</t>
        </is>
      </c>
      <c r="N4" s="9" t="inlineStr">
        <is>
          <t>Notes</t>
        </is>
      </c>
    </row>
    <row r="5" ht="16" customHeight="1">
      <c r="A5" s="40" t="n"/>
      <c r="B5" s="40" t="n"/>
      <c r="C5" s="41" t="n"/>
      <c r="D5" s="41" t="n"/>
      <c r="E5" s="40" t="n"/>
      <c r="F5" s="42" t="n"/>
      <c r="G5" s="40" t="n"/>
      <c r="H5" s="43">
        <f>IF($F5="","",ROUND(IF($E5="Upfront",$F5/IF($G5="",1,$G5),$F5),2))</f>
        <v/>
      </c>
      <c r="I5" s="40" t="n"/>
      <c r="J5" s="40" t="n"/>
      <c r="K5" s="14">
        <f>IF($F5="","",ROUND(IF($E5="Upfront",$F5/IF($G5="",1,$G5),$F5)*IFERROR(VLOOKUP($B5,Team!$B$6:$E$8,3,0),0),2))</f>
        <v/>
      </c>
      <c r="L5" s="14">
        <f>IF($F5="","",IF(AND($I5="SDR",$J5&lt;&gt;""),ROUND(IF($E5="Upfront",$F5/IF($G5="",1,$G5),$F5)*IFERROR(VLOOKUP($J5,Team!$B$12:$E$14,3,0),0),2),0))</f>
        <v/>
      </c>
      <c r="M5" s="44">
        <f>IF($F5="","",IF($E5="Upfront",$F5,$F5*IF($G5="",1,$G5)))</f>
        <v/>
      </c>
      <c r="N5" s="41" t="n"/>
    </row>
    <row r="6" ht="16" customHeight="1">
      <c r="A6" s="40" t="n"/>
      <c r="B6" s="40" t="n"/>
      <c r="C6" s="41" t="n"/>
      <c r="D6" s="41" t="n"/>
      <c r="E6" s="40" t="n"/>
      <c r="F6" s="42" t="n"/>
      <c r="G6" s="40" t="n"/>
      <c r="H6" s="43">
        <f>IF($F6="","",ROUND(IF($E6="Upfront",$F6/IF($G6="",1,$G6),$F6),2))</f>
        <v/>
      </c>
      <c r="I6" s="40" t="n"/>
      <c r="J6" s="40" t="n"/>
      <c r="K6" s="14">
        <f>IF($F6="","",ROUND(IF($E6="Upfront",$F6/IF($G6="",1,$G6),$F6)*IFERROR(VLOOKUP($B6,Team!$B$6:$E$8,3,0),0),2))</f>
        <v/>
      </c>
      <c r="L6" s="14">
        <f>IF($F6="","",IF(AND($I6="SDR",$J6&lt;&gt;""),ROUND(IF($E6="Upfront",$F6/IF($G6="",1,$G6),$F6)*IFERROR(VLOOKUP($J6,Team!$B$12:$E$14,3,0),0),2),0))</f>
        <v/>
      </c>
      <c r="M6" s="44">
        <f>IF($F6="","",IF($E6="Upfront",$F6,$F6*IF($G6="",1,$G6)))</f>
        <v/>
      </c>
      <c r="N6" s="41" t="n"/>
    </row>
    <row r="7" ht="16" customHeight="1">
      <c r="A7" s="40" t="n"/>
      <c r="B7" s="40" t="n"/>
      <c r="C7" s="41" t="n"/>
      <c r="D7" s="41" t="n"/>
      <c r="E7" s="40" t="n"/>
      <c r="F7" s="42" t="n"/>
      <c r="G7" s="40" t="n"/>
      <c r="H7" s="43">
        <f>IF($F7="","",ROUND(IF($E7="Upfront",$F7/IF($G7="",1,$G7),$F7),2))</f>
        <v/>
      </c>
      <c r="I7" s="40" t="n"/>
      <c r="J7" s="40" t="n"/>
      <c r="K7" s="14">
        <f>IF($F7="","",ROUND(IF($E7="Upfront",$F7/IF($G7="",1,$G7),$F7)*IFERROR(VLOOKUP($B7,Team!$B$6:$E$8,3,0),0),2))</f>
        <v/>
      </c>
      <c r="L7" s="14">
        <f>IF($F7="","",IF(AND($I7="SDR",$J7&lt;&gt;""),ROUND(IF($E7="Upfront",$F7/IF($G7="",1,$G7),$F7)*IFERROR(VLOOKUP($J7,Team!$B$12:$E$14,3,0),0),2),0))</f>
        <v/>
      </c>
      <c r="M7" s="44">
        <f>IF($F7="","",IF($E7="Upfront",$F7,$F7*IF($G7="",1,$G7)))</f>
        <v/>
      </c>
      <c r="N7" s="41" t="n"/>
    </row>
    <row r="8" ht="16" customHeight="1">
      <c r="A8" s="40" t="n"/>
      <c r="B8" s="40" t="n"/>
      <c r="C8" s="41" t="n"/>
      <c r="D8" s="41" t="n"/>
      <c r="E8" s="40" t="n"/>
      <c r="F8" s="42" t="n"/>
      <c r="G8" s="40" t="n"/>
      <c r="H8" s="43">
        <f>IF($F8="","",ROUND(IF($E8="Upfront",$F8/IF($G8="",1,$G8),$F8),2))</f>
        <v/>
      </c>
      <c r="I8" s="40" t="n"/>
      <c r="J8" s="40" t="n"/>
      <c r="K8" s="14">
        <f>IF($F8="","",ROUND(IF($E8="Upfront",$F8/IF($G8="",1,$G8),$F8)*IFERROR(VLOOKUP($B8,Team!$B$6:$E$8,3,0),0),2))</f>
        <v/>
      </c>
      <c r="L8" s="14">
        <f>IF($F8="","",IF(AND($I8="SDR",$J8&lt;&gt;""),ROUND(IF($E8="Upfront",$F8/IF($G8="",1,$G8),$F8)*IFERROR(VLOOKUP($J8,Team!$B$12:$E$14,3,0),0),2),0))</f>
        <v/>
      </c>
      <c r="M8" s="44">
        <f>IF($F8="","",IF($E8="Upfront",$F8,$F8*IF($G8="",1,$G8)))</f>
        <v/>
      </c>
      <c r="N8" s="41" t="n"/>
    </row>
    <row r="9" ht="16" customHeight="1">
      <c r="A9" s="40" t="n"/>
      <c r="B9" s="40" t="n"/>
      <c r="C9" s="41" t="n"/>
      <c r="D9" s="41" t="n"/>
      <c r="E9" s="40" t="n"/>
      <c r="F9" s="42" t="n"/>
      <c r="G9" s="40" t="n"/>
      <c r="H9" s="43">
        <f>IF($F9="","",ROUND(IF($E9="Upfront",$F9/IF($G9="",1,$G9),$F9),2))</f>
        <v/>
      </c>
      <c r="I9" s="40" t="n"/>
      <c r="J9" s="40" t="n"/>
      <c r="K9" s="14">
        <f>IF($F9="","",ROUND(IF($E9="Upfront",$F9/IF($G9="",1,$G9),$F9)*IFERROR(VLOOKUP($B9,Team!$B$6:$E$8,3,0),0),2))</f>
        <v/>
      </c>
      <c r="L9" s="14">
        <f>IF($F9="","",IF(AND($I9="SDR",$J9&lt;&gt;""),ROUND(IF($E9="Upfront",$F9/IF($G9="",1,$G9),$F9)*IFERROR(VLOOKUP($J9,Team!$B$12:$E$14,3,0),0),2),0))</f>
        <v/>
      </c>
      <c r="M9" s="44">
        <f>IF($F9="","",IF($E9="Upfront",$F9,$F9*IF($G9="",1,$G9)))</f>
        <v/>
      </c>
      <c r="N9" s="41" t="n"/>
    </row>
    <row r="10" ht="16" customHeight="1">
      <c r="A10" s="40" t="n"/>
      <c r="B10" s="40" t="n"/>
      <c r="C10" s="41" t="n"/>
      <c r="D10" s="41" t="n"/>
      <c r="E10" s="40" t="n"/>
      <c r="F10" s="42" t="n"/>
      <c r="G10" s="40" t="n"/>
      <c r="H10" s="43">
        <f>IF($F10="","",ROUND(IF($E10="Upfront",$F10/IF($G10="",1,$G10),$F10),2))</f>
        <v/>
      </c>
      <c r="I10" s="40" t="n"/>
      <c r="J10" s="40" t="n"/>
      <c r="K10" s="14">
        <f>IF($F10="","",ROUND(IF($E10="Upfront",$F10/IF($G10="",1,$G10),$F10)*IFERROR(VLOOKUP($B10,Team!$B$6:$E$8,3,0),0),2))</f>
        <v/>
      </c>
      <c r="L10" s="14">
        <f>IF($F10="","",IF(AND($I10="SDR",$J10&lt;&gt;""),ROUND(IF($E10="Upfront",$F10/IF($G10="",1,$G10),$F10)*IFERROR(VLOOKUP($J10,Team!$B$12:$E$14,3,0),0),2),0))</f>
        <v/>
      </c>
      <c r="M10" s="44">
        <f>IF($F10="","",IF($E10="Upfront",$F10,$F10*IF($G10="",1,$G10)))</f>
        <v/>
      </c>
      <c r="N10" s="41" t="n"/>
    </row>
    <row r="11" ht="16" customHeight="1">
      <c r="A11" s="40" t="n"/>
      <c r="B11" s="40" t="n"/>
      <c r="C11" s="41" t="n"/>
      <c r="D11" s="41" t="n"/>
      <c r="E11" s="40" t="n"/>
      <c r="F11" s="42" t="n"/>
      <c r="G11" s="40" t="n"/>
      <c r="H11" s="43">
        <f>IF($F11="","",ROUND(IF($E11="Upfront",$F11/IF($G11="",1,$G11),$F11),2))</f>
        <v/>
      </c>
      <c r="I11" s="40" t="n"/>
      <c r="J11" s="40" t="n"/>
      <c r="K11" s="14">
        <f>IF($F11="","",ROUND(IF($E11="Upfront",$F11/IF($G11="",1,$G11),$F11)*IFERROR(VLOOKUP($B11,Team!$B$6:$E$8,3,0),0),2))</f>
        <v/>
      </c>
      <c r="L11" s="14">
        <f>IF($F11="","",IF(AND($I11="SDR",$J11&lt;&gt;""),ROUND(IF($E11="Upfront",$F11/IF($G11="",1,$G11),$F11)*IFERROR(VLOOKUP($J11,Team!$B$12:$E$14,3,0),0),2),0))</f>
        <v/>
      </c>
      <c r="M11" s="44">
        <f>IF($F11="","",IF($E11="Upfront",$F11,$F11*IF($G11="",1,$G11)))</f>
        <v/>
      </c>
      <c r="N11" s="41" t="n"/>
    </row>
    <row r="12" ht="16" customHeight="1">
      <c r="A12" s="40" t="n"/>
      <c r="B12" s="40" t="n"/>
      <c r="C12" s="41" t="n"/>
      <c r="D12" s="41" t="n"/>
      <c r="E12" s="40" t="n"/>
      <c r="F12" s="42" t="n"/>
      <c r="G12" s="40" t="n"/>
      <c r="H12" s="43">
        <f>IF($F12="","",ROUND(IF($E12="Upfront",$F12/IF($G12="",1,$G12),$F12),2))</f>
        <v/>
      </c>
      <c r="I12" s="40" t="n"/>
      <c r="J12" s="40" t="n"/>
      <c r="K12" s="14">
        <f>IF($F12="","",ROUND(IF($E12="Upfront",$F12/IF($G12="",1,$G12),$F12)*IFERROR(VLOOKUP($B12,Team!$B$6:$E$8,3,0),0),2))</f>
        <v/>
      </c>
      <c r="L12" s="14">
        <f>IF($F12="","",IF(AND($I12="SDR",$J12&lt;&gt;""),ROUND(IF($E12="Upfront",$F12/IF($G12="",1,$G12),$F12)*IFERROR(VLOOKUP($J12,Team!$B$12:$E$14,3,0),0),2),0))</f>
        <v/>
      </c>
      <c r="M12" s="44">
        <f>IF($F12="","",IF($E12="Upfront",$F12,$F12*IF($G12="",1,$G12)))</f>
        <v/>
      </c>
      <c r="N12" s="41" t="n"/>
    </row>
    <row r="13" ht="16" customHeight="1">
      <c r="A13" s="40" t="n"/>
      <c r="B13" s="40" t="n"/>
      <c r="C13" s="41" t="n"/>
      <c r="D13" s="41" t="n"/>
      <c r="E13" s="40" t="n"/>
      <c r="F13" s="42" t="n"/>
      <c r="G13" s="40" t="n"/>
      <c r="H13" s="43">
        <f>IF($F13="","",ROUND(IF($E13="Upfront",$F13/IF($G13="",1,$G13),$F13),2))</f>
        <v/>
      </c>
      <c r="I13" s="40" t="n"/>
      <c r="J13" s="40" t="n"/>
      <c r="K13" s="14">
        <f>IF($F13="","",ROUND(IF($E13="Upfront",$F13/IF($G13="",1,$G13),$F13)*IFERROR(VLOOKUP($B13,Team!$B$6:$E$8,3,0),0),2))</f>
        <v/>
      </c>
      <c r="L13" s="14">
        <f>IF($F13="","",IF(AND($I13="SDR",$J13&lt;&gt;""),ROUND(IF($E13="Upfront",$F13/IF($G13="",1,$G13),$F13)*IFERROR(VLOOKUP($J13,Team!$B$12:$E$14,3,0),0),2),0))</f>
        <v/>
      </c>
      <c r="M13" s="44">
        <f>IF($F13="","",IF($E13="Upfront",$F13,$F13*IF($G13="",1,$G13)))</f>
        <v/>
      </c>
      <c r="N13" s="41" t="n"/>
    </row>
    <row r="14" ht="16" customHeight="1">
      <c r="A14" s="40" t="n"/>
      <c r="B14" s="40" t="n"/>
      <c r="C14" s="41" t="n"/>
      <c r="D14" s="41" t="n"/>
      <c r="E14" s="40" t="n"/>
      <c r="F14" s="42" t="n"/>
      <c r="G14" s="40" t="n"/>
      <c r="H14" s="43">
        <f>IF($F14="","",ROUND(IF($E14="Upfront",$F14/IF($G14="",1,$G14),$F14),2))</f>
        <v/>
      </c>
      <c r="I14" s="40" t="n"/>
      <c r="J14" s="40" t="n"/>
      <c r="K14" s="14">
        <f>IF($F14="","",ROUND(IF($E14="Upfront",$F14/IF($G14="",1,$G14),$F14)*IFERROR(VLOOKUP($B14,Team!$B$6:$E$8,3,0),0),2))</f>
        <v/>
      </c>
      <c r="L14" s="14">
        <f>IF($F14="","",IF(AND($I14="SDR",$J14&lt;&gt;""),ROUND(IF($E14="Upfront",$F14/IF($G14="",1,$G14),$F14)*IFERROR(VLOOKUP($J14,Team!$B$12:$E$14,3,0),0),2),0))</f>
        <v/>
      </c>
      <c r="M14" s="44">
        <f>IF($F14="","",IF($E14="Upfront",$F14,$F14*IF($G14="",1,$G14)))</f>
        <v/>
      </c>
      <c r="N14" s="41" t="n"/>
    </row>
    <row r="15" ht="16" customHeight="1">
      <c r="A15" s="40" t="n"/>
      <c r="B15" s="40" t="n"/>
      <c r="C15" s="41" t="n"/>
      <c r="D15" s="41" t="n"/>
      <c r="E15" s="40" t="n"/>
      <c r="F15" s="42" t="n"/>
      <c r="G15" s="40" t="n"/>
      <c r="H15" s="43">
        <f>IF($F15="","",ROUND(IF($E15="Upfront",$F15/IF($G15="",1,$G15),$F15),2))</f>
        <v/>
      </c>
      <c r="I15" s="40" t="n"/>
      <c r="J15" s="40" t="n"/>
      <c r="K15" s="14">
        <f>IF($F15="","",ROUND(IF($E15="Upfront",$F15/IF($G15="",1,$G15),$F15)*IFERROR(VLOOKUP($B15,Team!$B$6:$E$8,3,0),0),2))</f>
        <v/>
      </c>
      <c r="L15" s="14">
        <f>IF($F15="","",IF(AND($I15="SDR",$J15&lt;&gt;""),ROUND(IF($E15="Upfront",$F15/IF($G15="",1,$G15),$F15)*IFERROR(VLOOKUP($J15,Team!$B$12:$E$14,3,0),0),2),0))</f>
        <v/>
      </c>
      <c r="M15" s="44">
        <f>IF($F15="","",IF($E15="Upfront",$F15,$F15*IF($G15="",1,$G15)))</f>
        <v/>
      </c>
      <c r="N15" s="41" t="n"/>
    </row>
    <row r="16" ht="16" customHeight="1">
      <c r="A16" s="40" t="n"/>
      <c r="B16" s="40" t="n"/>
      <c r="C16" s="41" t="n"/>
      <c r="D16" s="41" t="n"/>
      <c r="E16" s="40" t="n"/>
      <c r="F16" s="42" t="n"/>
      <c r="G16" s="40" t="n"/>
      <c r="H16" s="43">
        <f>IF($F16="","",ROUND(IF($E16="Upfront",$F16/IF($G16="",1,$G16),$F16),2))</f>
        <v/>
      </c>
      <c r="I16" s="40" t="n"/>
      <c r="J16" s="40" t="n"/>
      <c r="K16" s="14">
        <f>IF($F16="","",ROUND(IF($E16="Upfront",$F16/IF($G16="",1,$G16),$F16)*IFERROR(VLOOKUP($B16,Team!$B$6:$E$8,3,0),0),2))</f>
        <v/>
      </c>
      <c r="L16" s="14">
        <f>IF($F16="","",IF(AND($I16="SDR",$J16&lt;&gt;""),ROUND(IF($E16="Upfront",$F16/IF($G16="",1,$G16),$F16)*IFERROR(VLOOKUP($J16,Team!$B$12:$E$14,3,0),0),2),0))</f>
        <v/>
      </c>
      <c r="M16" s="44">
        <f>IF($F16="","",IF($E16="Upfront",$F16,$F16*IF($G16="",1,$G16)))</f>
        <v/>
      </c>
      <c r="N16" s="41" t="n"/>
    </row>
    <row r="17" ht="16" customHeight="1">
      <c r="A17" s="40" t="n"/>
      <c r="B17" s="40" t="n"/>
      <c r="C17" s="41" t="n"/>
      <c r="D17" s="41" t="n"/>
      <c r="E17" s="40" t="n"/>
      <c r="F17" s="42" t="n"/>
      <c r="G17" s="40" t="n"/>
      <c r="H17" s="43">
        <f>IF($F17="","",ROUND(IF($E17="Upfront",$F17/IF($G17="",1,$G17),$F17),2))</f>
        <v/>
      </c>
      <c r="I17" s="40" t="n"/>
      <c r="J17" s="40" t="n"/>
      <c r="K17" s="14">
        <f>IF($F17="","",ROUND(IF($E17="Upfront",$F17/IF($G17="",1,$G17),$F17)*IFERROR(VLOOKUP($B17,Team!$B$6:$E$8,3,0),0),2))</f>
        <v/>
      </c>
      <c r="L17" s="14">
        <f>IF($F17="","",IF(AND($I17="SDR",$J17&lt;&gt;""),ROUND(IF($E17="Upfront",$F17/IF($G17="",1,$G17),$F17)*IFERROR(VLOOKUP($J17,Team!$B$12:$E$14,3,0),0),2),0))</f>
        <v/>
      </c>
      <c r="M17" s="44">
        <f>IF($F17="","",IF($E17="Upfront",$F17,$F17*IF($G17="",1,$G17)))</f>
        <v/>
      </c>
      <c r="N17" s="41" t="n"/>
    </row>
    <row r="18" ht="16" customHeight="1">
      <c r="A18" s="40" t="n"/>
      <c r="B18" s="40" t="n"/>
      <c r="C18" s="41" t="n"/>
      <c r="D18" s="41" t="n"/>
      <c r="E18" s="40" t="n"/>
      <c r="F18" s="42" t="n"/>
      <c r="G18" s="40" t="n"/>
      <c r="H18" s="43">
        <f>IF($F18="","",ROUND(IF($E18="Upfront",$F18/IF($G18="",1,$G18),$F18),2))</f>
        <v/>
      </c>
      <c r="I18" s="40" t="n"/>
      <c r="J18" s="40" t="n"/>
      <c r="K18" s="14">
        <f>IF($F18="","",ROUND(IF($E18="Upfront",$F18/IF($G18="",1,$G18),$F18)*IFERROR(VLOOKUP($B18,Team!$B$6:$E$8,3,0),0),2))</f>
        <v/>
      </c>
      <c r="L18" s="14">
        <f>IF($F18="","",IF(AND($I18="SDR",$J18&lt;&gt;""),ROUND(IF($E18="Upfront",$F18/IF($G18="",1,$G18),$F18)*IFERROR(VLOOKUP($J18,Team!$B$12:$E$14,3,0),0),2),0))</f>
        <v/>
      </c>
      <c r="M18" s="44">
        <f>IF($F18="","",IF($E18="Upfront",$F18,$F18*IF($G18="",1,$G18)))</f>
        <v/>
      </c>
      <c r="N18" s="41" t="n"/>
    </row>
    <row r="19" ht="16" customHeight="1">
      <c r="A19" s="40" t="n"/>
      <c r="B19" s="40" t="n"/>
      <c r="C19" s="41" t="n"/>
      <c r="D19" s="41" t="n"/>
      <c r="E19" s="40" t="n"/>
      <c r="F19" s="42" t="n"/>
      <c r="G19" s="40" t="n"/>
      <c r="H19" s="43">
        <f>IF($F19="","",ROUND(IF($E19="Upfront",$F19/IF($G19="",1,$G19),$F19),2))</f>
        <v/>
      </c>
      <c r="I19" s="40" t="n"/>
      <c r="J19" s="40" t="n"/>
      <c r="K19" s="14">
        <f>IF($F19="","",ROUND(IF($E19="Upfront",$F19/IF($G19="",1,$G19),$F19)*IFERROR(VLOOKUP($B19,Team!$B$6:$E$8,3,0),0),2))</f>
        <v/>
      </c>
      <c r="L19" s="14">
        <f>IF($F19="","",IF(AND($I19="SDR",$J19&lt;&gt;""),ROUND(IF($E19="Upfront",$F19/IF($G19="",1,$G19),$F19)*IFERROR(VLOOKUP($J19,Team!$B$12:$E$14,3,0),0),2),0))</f>
        <v/>
      </c>
      <c r="M19" s="44">
        <f>IF($F19="","",IF($E19="Upfront",$F19,$F19*IF($G19="",1,$G19)))</f>
        <v/>
      </c>
      <c r="N19" s="41" t="n"/>
    </row>
    <row r="20" ht="16" customHeight="1">
      <c r="A20" s="40" t="n"/>
      <c r="B20" s="40" t="n"/>
      <c r="C20" s="41" t="n"/>
      <c r="D20" s="41" t="n"/>
      <c r="E20" s="40" t="n"/>
      <c r="F20" s="42" t="n"/>
      <c r="G20" s="40" t="n"/>
      <c r="H20" s="43">
        <f>IF($F20="","",ROUND(IF($E20="Upfront",$F20/IF($G20="",1,$G20),$F20),2))</f>
        <v/>
      </c>
      <c r="I20" s="40" t="n"/>
      <c r="J20" s="40" t="n"/>
      <c r="K20" s="14">
        <f>IF($F20="","",ROUND(IF($E20="Upfront",$F20/IF($G20="",1,$G20),$F20)*IFERROR(VLOOKUP($B20,Team!$B$6:$E$8,3,0),0),2))</f>
        <v/>
      </c>
      <c r="L20" s="14">
        <f>IF($F20="","",IF(AND($I20="SDR",$J20&lt;&gt;""),ROUND(IF($E20="Upfront",$F20/IF($G20="",1,$G20),$F20)*IFERROR(VLOOKUP($J20,Team!$B$12:$E$14,3,0),0),2),0))</f>
        <v/>
      </c>
      <c r="M20" s="44">
        <f>IF($F20="","",IF($E20="Upfront",$F20,$F20*IF($G20="",1,$G20)))</f>
        <v/>
      </c>
      <c r="N20" s="41" t="n"/>
    </row>
    <row r="21" ht="16" customHeight="1">
      <c r="A21" s="40" t="n"/>
      <c r="B21" s="40" t="n"/>
      <c r="C21" s="41" t="n"/>
      <c r="D21" s="41" t="n"/>
      <c r="E21" s="40" t="n"/>
      <c r="F21" s="42" t="n"/>
      <c r="G21" s="40" t="n"/>
      <c r="H21" s="43">
        <f>IF($F21="","",ROUND(IF($E21="Upfront",$F21/IF($G21="",1,$G21),$F21),2))</f>
        <v/>
      </c>
      <c r="I21" s="40" t="n"/>
      <c r="J21" s="40" t="n"/>
      <c r="K21" s="14">
        <f>IF($F21="","",ROUND(IF($E21="Upfront",$F21/IF($G21="",1,$G21),$F21)*IFERROR(VLOOKUP($B21,Team!$B$6:$E$8,3,0),0),2))</f>
        <v/>
      </c>
      <c r="L21" s="14">
        <f>IF($F21="","",IF(AND($I21="SDR",$J21&lt;&gt;""),ROUND(IF($E21="Upfront",$F21/IF($G21="",1,$G21),$F21)*IFERROR(VLOOKUP($J21,Team!$B$12:$E$14,3,0),0),2),0))</f>
        <v/>
      </c>
      <c r="M21" s="44">
        <f>IF($F21="","",IF($E21="Upfront",$F21,$F21*IF($G21="",1,$G21)))</f>
        <v/>
      </c>
      <c r="N21" s="41" t="n"/>
    </row>
    <row r="22" ht="16" customHeight="1">
      <c r="A22" s="40" t="n"/>
      <c r="B22" s="40" t="n"/>
      <c r="C22" s="41" t="n"/>
      <c r="D22" s="41" t="n"/>
      <c r="E22" s="40" t="n"/>
      <c r="F22" s="42" t="n"/>
      <c r="G22" s="40" t="n"/>
      <c r="H22" s="43">
        <f>IF($F22="","",ROUND(IF($E22="Upfront",$F22/IF($G22="",1,$G22),$F22),2))</f>
        <v/>
      </c>
      <c r="I22" s="40" t="n"/>
      <c r="J22" s="40" t="n"/>
      <c r="K22" s="14">
        <f>IF($F22="","",ROUND(IF($E22="Upfront",$F22/IF($G22="",1,$G22),$F22)*IFERROR(VLOOKUP($B22,Team!$B$6:$E$8,3,0),0),2))</f>
        <v/>
      </c>
      <c r="L22" s="14">
        <f>IF($F22="","",IF(AND($I22="SDR",$J22&lt;&gt;""),ROUND(IF($E22="Upfront",$F22/IF($G22="",1,$G22),$F22)*IFERROR(VLOOKUP($J22,Team!$B$12:$E$14,3,0),0),2),0))</f>
        <v/>
      </c>
      <c r="M22" s="44">
        <f>IF($F22="","",IF($E22="Upfront",$F22,$F22*IF($G22="",1,$G22)))</f>
        <v/>
      </c>
      <c r="N22" s="41" t="n"/>
    </row>
    <row r="23" ht="16" customHeight="1">
      <c r="A23" s="40" t="n"/>
      <c r="B23" s="40" t="n"/>
      <c r="C23" s="41" t="n"/>
      <c r="D23" s="41" t="n"/>
      <c r="E23" s="40" t="n"/>
      <c r="F23" s="42" t="n"/>
      <c r="G23" s="40" t="n"/>
      <c r="H23" s="43">
        <f>IF($F23="","",ROUND(IF($E23="Upfront",$F23/IF($G23="",1,$G23),$F23),2))</f>
        <v/>
      </c>
      <c r="I23" s="40" t="n"/>
      <c r="J23" s="40" t="n"/>
      <c r="K23" s="14">
        <f>IF($F23="","",ROUND(IF($E23="Upfront",$F23/IF($G23="",1,$G23),$F23)*IFERROR(VLOOKUP($B23,Team!$B$6:$E$8,3,0),0),2))</f>
        <v/>
      </c>
      <c r="L23" s="14">
        <f>IF($F23="","",IF(AND($I23="SDR",$J23&lt;&gt;""),ROUND(IF($E23="Upfront",$F23/IF($G23="",1,$G23),$F23)*IFERROR(VLOOKUP($J23,Team!$B$12:$E$14,3,0),0),2),0))</f>
        <v/>
      </c>
      <c r="M23" s="44">
        <f>IF($F23="","",IF($E23="Upfront",$F23,$F23*IF($G23="",1,$G23)))</f>
        <v/>
      </c>
      <c r="N23" s="41" t="n"/>
    </row>
    <row r="24" ht="16" customHeight="1">
      <c r="A24" s="40" t="n"/>
      <c r="B24" s="40" t="n"/>
      <c r="C24" s="41" t="n"/>
      <c r="D24" s="41" t="n"/>
      <c r="E24" s="40" t="n"/>
      <c r="F24" s="42" t="n"/>
      <c r="G24" s="40" t="n"/>
      <c r="H24" s="43">
        <f>IF($F24="","",ROUND(IF($E24="Upfront",$F24/IF($G24="",1,$G24),$F24),2))</f>
        <v/>
      </c>
      <c r="I24" s="40" t="n"/>
      <c r="J24" s="40" t="n"/>
      <c r="K24" s="14">
        <f>IF($F24="","",ROUND(IF($E24="Upfront",$F24/IF($G24="",1,$G24),$F24)*IFERROR(VLOOKUP($B24,Team!$B$6:$E$8,3,0),0),2))</f>
        <v/>
      </c>
      <c r="L24" s="14">
        <f>IF($F24="","",IF(AND($I24="SDR",$J24&lt;&gt;""),ROUND(IF($E24="Upfront",$F24/IF($G24="",1,$G24),$F24)*IFERROR(VLOOKUP($J24,Team!$B$12:$E$14,3,0),0),2),0))</f>
        <v/>
      </c>
      <c r="M24" s="44">
        <f>IF($F24="","",IF($E24="Upfront",$F24,$F24*IF($G24="",1,$G24)))</f>
        <v/>
      </c>
      <c r="N24" s="41" t="n"/>
    </row>
    <row r="25" ht="16" customHeight="1">
      <c r="A25" s="40" t="n"/>
      <c r="B25" s="40" t="n"/>
      <c r="C25" s="41" t="n"/>
      <c r="D25" s="41" t="n"/>
      <c r="E25" s="40" t="n"/>
      <c r="F25" s="42" t="n"/>
      <c r="G25" s="40" t="n"/>
      <c r="H25" s="43">
        <f>IF($F25="","",ROUND(IF($E25="Upfront",$F25/IF($G25="",1,$G25),$F25),2))</f>
        <v/>
      </c>
      <c r="I25" s="40" t="n"/>
      <c r="J25" s="40" t="n"/>
      <c r="K25" s="14">
        <f>IF($F25="","",ROUND(IF($E25="Upfront",$F25/IF($G25="",1,$G25),$F25)*IFERROR(VLOOKUP($B25,Team!$B$6:$E$8,3,0),0),2))</f>
        <v/>
      </c>
      <c r="L25" s="14">
        <f>IF($F25="","",IF(AND($I25="SDR",$J25&lt;&gt;""),ROUND(IF($E25="Upfront",$F25/IF($G25="",1,$G25),$F25)*IFERROR(VLOOKUP($J25,Team!$B$12:$E$14,3,0),0),2),0))</f>
        <v/>
      </c>
      <c r="M25" s="44">
        <f>IF($F25="","",IF($E25="Upfront",$F25,$F25*IF($G25="",1,$G25)))</f>
        <v/>
      </c>
      <c r="N25" s="41" t="n"/>
    </row>
    <row r="26" ht="16" customHeight="1">
      <c r="A26" s="40" t="n"/>
      <c r="B26" s="40" t="n"/>
      <c r="C26" s="41" t="n"/>
      <c r="D26" s="41" t="n"/>
      <c r="E26" s="40" t="n"/>
      <c r="F26" s="42" t="n"/>
      <c r="G26" s="40" t="n"/>
      <c r="H26" s="43">
        <f>IF($F26="","",ROUND(IF($E26="Upfront",$F26/IF($G26="",1,$G26),$F26),2))</f>
        <v/>
      </c>
      <c r="I26" s="40" t="n"/>
      <c r="J26" s="40" t="n"/>
      <c r="K26" s="14">
        <f>IF($F26="","",ROUND(IF($E26="Upfront",$F26/IF($G26="",1,$G26),$F26)*IFERROR(VLOOKUP($B26,Team!$B$6:$E$8,3,0),0),2))</f>
        <v/>
      </c>
      <c r="L26" s="14">
        <f>IF($F26="","",IF(AND($I26="SDR",$J26&lt;&gt;""),ROUND(IF($E26="Upfront",$F26/IF($G26="",1,$G26),$F26)*IFERROR(VLOOKUP($J26,Team!$B$12:$E$14,3,0),0),2),0))</f>
        <v/>
      </c>
      <c r="M26" s="44">
        <f>IF($F26="","",IF($E26="Upfront",$F26,$F26*IF($G26="",1,$G26)))</f>
        <v/>
      </c>
      <c r="N26" s="41" t="n"/>
    </row>
    <row r="27" ht="16" customHeight="1">
      <c r="A27" s="40" t="n"/>
      <c r="B27" s="40" t="n"/>
      <c r="C27" s="41" t="n"/>
      <c r="D27" s="41" t="n"/>
      <c r="E27" s="40" t="n"/>
      <c r="F27" s="42" t="n"/>
      <c r="G27" s="40" t="n"/>
      <c r="H27" s="43">
        <f>IF($F27="","",ROUND(IF($E27="Upfront",$F27/IF($G27="",1,$G27),$F27),2))</f>
        <v/>
      </c>
      <c r="I27" s="40" t="n"/>
      <c r="J27" s="40" t="n"/>
      <c r="K27" s="14">
        <f>IF($F27="","",ROUND(IF($E27="Upfront",$F27/IF($G27="",1,$G27),$F27)*IFERROR(VLOOKUP($B27,Team!$B$6:$E$8,3,0),0),2))</f>
        <v/>
      </c>
      <c r="L27" s="14">
        <f>IF($F27="","",IF(AND($I27="SDR",$J27&lt;&gt;""),ROUND(IF($E27="Upfront",$F27/IF($G27="",1,$G27),$F27)*IFERROR(VLOOKUP($J27,Team!$B$12:$E$14,3,0),0),2),0))</f>
        <v/>
      </c>
      <c r="M27" s="44">
        <f>IF($F27="","",IF($E27="Upfront",$F27,$F27*IF($G27="",1,$G27)))</f>
        <v/>
      </c>
      <c r="N27" s="41" t="n"/>
    </row>
    <row r="28" ht="16" customHeight="1">
      <c r="A28" s="40" t="n"/>
      <c r="B28" s="40" t="n"/>
      <c r="C28" s="41" t="n"/>
      <c r="D28" s="41" t="n"/>
      <c r="E28" s="40" t="n"/>
      <c r="F28" s="42" t="n"/>
      <c r="G28" s="40" t="n"/>
      <c r="H28" s="43">
        <f>IF($F28="","",ROUND(IF($E28="Upfront",$F28/IF($G28="",1,$G28),$F28),2))</f>
        <v/>
      </c>
      <c r="I28" s="40" t="n"/>
      <c r="J28" s="40" t="n"/>
      <c r="K28" s="14">
        <f>IF($F28="","",ROUND(IF($E28="Upfront",$F28/IF($G28="",1,$G28),$F28)*IFERROR(VLOOKUP($B28,Team!$B$6:$E$8,3,0),0),2))</f>
        <v/>
      </c>
      <c r="L28" s="14">
        <f>IF($F28="","",IF(AND($I28="SDR",$J28&lt;&gt;""),ROUND(IF($E28="Upfront",$F28/IF($G28="",1,$G28),$F28)*IFERROR(VLOOKUP($J28,Team!$B$12:$E$14,3,0),0),2),0))</f>
        <v/>
      </c>
      <c r="M28" s="44">
        <f>IF($F28="","",IF($E28="Upfront",$F28,$F28*IF($G28="",1,$G28)))</f>
        <v/>
      </c>
      <c r="N28" s="41" t="n"/>
    </row>
    <row r="29" ht="16" customHeight="1">
      <c r="A29" s="40" t="n"/>
      <c r="B29" s="40" t="n"/>
      <c r="C29" s="41" t="n"/>
      <c r="D29" s="41" t="n"/>
      <c r="E29" s="40" t="n"/>
      <c r="F29" s="42" t="n"/>
      <c r="G29" s="40" t="n"/>
      <c r="H29" s="43">
        <f>IF($F29="","",ROUND(IF($E29="Upfront",$F29/IF($G29="",1,$G29),$F29),2))</f>
        <v/>
      </c>
      <c r="I29" s="40" t="n"/>
      <c r="J29" s="40" t="n"/>
      <c r="K29" s="14">
        <f>IF($F29="","",ROUND(IF($E29="Upfront",$F29/IF($G29="",1,$G29),$F29)*IFERROR(VLOOKUP($B29,Team!$B$6:$E$8,3,0),0),2))</f>
        <v/>
      </c>
      <c r="L29" s="14">
        <f>IF($F29="","",IF(AND($I29="SDR",$J29&lt;&gt;""),ROUND(IF($E29="Upfront",$F29/IF($G29="",1,$G29),$F29)*IFERROR(VLOOKUP($J29,Team!$B$12:$E$14,3,0),0),2),0))</f>
        <v/>
      </c>
      <c r="M29" s="44">
        <f>IF($F29="","",IF($E29="Upfront",$F29,$F29*IF($G29="",1,$G29)))</f>
        <v/>
      </c>
      <c r="N29" s="41" t="n"/>
    </row>
    <row r="30" ht="16" customHeight="1">
      <c r="A30" s="40" t="n"/>
      <c r="B30" s="40" t="n"/>
      <c r="C30" s="41" t="n"/>
      <c r="D30" s="41" t="n"/>
      <c r="E30" s="40" t="n"/>
      <c r="F30" s="42" t="n"/>
      <c r="G30" s="40" t="n"/>
      <c r="H30" s="43">
        <f>IF($F30="","",ROUND(IF($E30="Upfront",$F30/IF($G30="",1,$G30),$F30),2))</f>
        <v/>
      </c>
      <c r="I30" s="40" t="n"/>
      <c r="J30" s="40" t="n"/>
      <c r="K30" s="14">
        <f>IF($F30="","",ROUND(IF($E30="Upfront",$F30/IF($G30="",1,$G30),$F30)*IFERROR(VLOOKUP($B30,Team!$B$6:$E$8,3,0),0),2))</f>
        <v/>
      </c>
      <c r="L30" s="14">
        <f>IF($F30="","",IF(AND($I30="SDR",$J30&lt;&gt;""),ROUND(IF($E30="Upfront",$F30/IF($G30="",1,$G30),$F30)*IFERROR(VLOOKUP($J30,Team!$B$12:$E$14,3,0),0),2),0))</f>
        <v/>
      </c>
      <c r="M30" s="44">
        <f>IF($F30="","",IF($E30="Upfront",$F30,$F30*IF($G30="",1,$G30)))</f>
        <v/>
      </c>
      <c r="N30" s="41" t="n"/>
    </row>
    <row r="31" ht="16" customHeight="1">
      <c r="A31" s="40" t="n"/>
      <c r="B31" s="40" t="n"/>
      <c r="C31" s="41" t="n"/>
      <c r="D31" s="41" t="n"/>
      <c r="E31" s="40" t="n"/>
      <c r="F31" s="42" t="n"/>
      <c r="G31" s="40" t="n"/>
      <c r="H31" s="43">
        <f>IF($F31="","",ROUND(IF($E31="Upfront",$F31/IF($G31="",1,$G31),$F31),2))</f>
        <v/>
      </c>
      <c r="I31" s="40" t="n"/>
      <c r="J31" s="40" t="n"/>
      <c r="K31" s="14">
        <f>IF($F31="","",ROUND(IF($E31="Upfront",$F31/IF($G31="",1,$G31),$F31)*IFERROR(VLOOKUP($B31,Team!$B$6:$E$8,3,0),0),2))</f>
        <v/>
      </c>
      <c r="L31" s="14">
        <f>IF($F31="","",IF(AND($I31="SDR",$J31&lt;&gt;""),ROUND(IF($E31="Upfront",$F31/IF($G31="",1,$G31),$F31)*IFERROR(VLOOKUP($J31,Team!$B$12:$E$14,3,0),0),2),0))</f>
        <v/>
      </c>
      <c r="M31" s="44">
        <f>IF($F31="","",IF($E31="Upfront",$F31,$F31*IF($G31="",1,$G31)))</f>
        <v/>
      </c>
      <c r="N31" s="41" t="n"/>
    </row>
    <row r="32" ht="16" customHeight="1">
      <c r="A32" s="40" t="n"/>
      <c r="B32" s="40" t="n"/>
      <c r="C32" s="41" t="n"/>
      <c r="D32" s="41" t="n"/>
      <c r="E32" s="40" t="n"/>
      <c r="F32" s="42" t="n"/>
      <c r="G32" s="40" t="n"/>
      <c r="H32" s="43">
        <f>IF($F32="","",ROUND(IF($E32="Upfront",$F32/IF($G32="",1,$G32),$F32),2))</f>
        <v/>
      </c>
      <c r="I32" s="40" t="n"/>
      <c r="J32" s="40" t="n"/>
      <c r="K32" s="14">
        <f>IF($F32="","",ROUND(IF($E32="Upfront",$F32/IF($G32="",1,$G32),$F32)*IFERROR(VLOOKUP($B32,Team!$B$6:$E$8,3,0),0),2))</f>
        <v/>
      </c>
      <c r="L32" s="14">
        <f>IF($F32="","",IF(AND($I32="SDR",$J32&lt;&gt;""),ROUND(IF($E32="Upfront",$F32/IF($G32="",1,$G32),$F32)*IFERROR(VLOOKUP($J32,Team!$B$12:$E$14,3,0),0),2),0))</f>
        <v/>
      </c>
      <c r="M32" s="44">
        <f>IF($F32="","",IF($E32="Upfront",$F32,$F32*IF($G32="",1,$G32)))</f>
        <v/>
      </c>
      <c r="N32" s="41" t="n"/>
    </row>
    <row r="33" ht="16" customHeight="1">
      <c r="A33" s="40" t="n"/>
      <c r="B33" s="40" t="n"/>
      <c r="C33" s="41" t="n"/>
      <c r="D33" s="41" t="n"/>
      <c r="E33" s="40" t="n"/>
      <c r="F33" s="42" t="n"/>
      <c r="G33" s="40" t="n"/>
      <c r="H33" s="43">
        <f>IF($F33="","",ROUND(IF($E33="Upfront",$F33/IF($G33="",1,$G33),$F33),2))</f>
        <v/>
      </c>
      <c r="I33" s="40" t="n"/>
      <c r="J33" s="40" t="n"/>
      <c r="K33" s="14">
        <f>IF($F33="","",ROUND(IF($E33="Upfront",$F33/IF($G33="",1,$G33),$F33)*IFERROR(VLOOKUP($B33,Team!$B$6:$E$8,3,0),0),2))</f>
        <v/>
      </c>
      <c r="L33" s="14">
        <f>IF($F33="","",IF(AND($I33="SDR",$J33&lt;&gt;""),ROUND(IF($E33="Upfront",$F33/IF($G33="",1,$G33),$F33)*IFERROR(VLOOKUP($J33,Team!$B$12:$E$14,3,0),0),2),0))</f>
        <v/>
      </c>
      <c r="M33" s="44">
        <f>IF($F33="","",IF($E33="Upfront",$F33,$F33*IF($G33="",1,$G33)))</f>
        <v/>
      </c>
      <c r="N33" s="41" t="n"/>
    </row>
    <row r="34" ht="16" customHeight="1">
      <c r="A34" s="40" t="n"/>
      <c r="B34" s="40" t="n"/>
      <c r="C34" s="41" t="n"/>
      <c r="D34" s="41" t="n"/>
      <c r="E34" s="40" t="n"/>
      <c r="F34" s="42" t="n"/>
      <c r="G34" s="40" t="n"/>
      <c r="H34" s="43">
        <f>IF($F34="","",ROUND(IF($E34="Upfront",$F34/IF($G34="",1,$G34),$F34),2))</f>
        <v/>
      </c>
      <c r="I34" s="40" t="n"/>
      <c r="J34" s="40" t="n"/>
      <c r="K34" s="14">
        <f>IF($F34="","",ROUND(IF($E34="Upfront",$F34/IF($G34="",1,$G34),$F34)*IFERROR(VLOOKUP($B34,Team!$B$6:$E$8,3,0),0),2))</f>
        <v/>
      </c>
      <c r="L34" s="14">
        <f>IF($F34="","",IF(AND($I34="SDR",$J34&lt;&gt;""),ROUND(IF($E34="Upfront",$F34/IF($G34="",1,$G34),$F34)*IFERROR(VLOOKUP($J34,Team!$B$12:$E$14,3,0),0),2),0))</f>
        <v/>
      </c>
      <c r="M34" s="44">
        <f>IF($F34="","",IF($E34="Upfront",$F34,$F34*IF($G34="",1,$G34)))</f>
        <v/>
      </c>
      <c r="N34" s="41" t="n"/>
    </row>
    <row r="35" ht="16" customHeight="1">
      <c r="A35" s="40" t="n"/>
      <c r="B35" s="40" t="n"/>
      <c r="C35" s="41" t="n"/>
      <c r="D35" s="41" t="n"/>
      <c r="E35" s="40" t="n"/>
      <c r="F35" s="42" t="n"/>
      <c r="G35" s="40" t="n"/>
      <c r="H35" s="43">
        <f>IF($F35="","",ROUND(IF($E35="Upfront",$F35/IF($G35="",1,$G35),$F35),2))</f>
        <v/>
      </c>
      <c r="I35" s="40" t="n"/>
      <c r="J35" s="40" t="n"/>
      <c r="K35" s="14">
        <f>IF($F35="","",ROUND(IF($E35="Upfront",$F35/IF($G35="",1,$G35),$F35)*IFERROR(VLOOKUP($B35,Team!$B$6:$E$8,3,0),0),2))</f>
        <v/>
      </c>
      <c r="L35" s="14">
        <f>IF($F35="","",IF(AND($I35="SDR",$J35&lt;&gt;""),ROUND(IF($E35="Upfront",$F35/IF($G35="",1,$G35),$F35)*IFERROR(VLOOKUP($J35,Team!$B$12:$E$14,3,0),0),2),0))</f>
        <v/>
      </c>
      <c r="M35" s="44">
        <f>IF($F35="","",IF($E35="Upfront",$F35,$F35*IF($G35="",1,$G35)))</f>
        <v/>
      </c>
      <c r="N35" s="41" t="n"/>
    </row>
    <row r="36" ht="16" customHeight="1">
      <c r="A36" s="40" t="n"/>
      <c r="B36" s="40" t="n"/>
      <c r="C36" s="41" t="n"/>
      <c r="D36" s="41" t="n"/>
      <c r="E36" s="40" t="n"/>
      <c r="F36" s="42" t="n"/>
      <c r="G36" s="40" t="n"/>
      <c r="H36" s="43">
        <f>IF($F36="","",ROUND(IF($E36="Upfront",$F36/IF($G36="",1,$G36),$F36),2))</f>
        <v/>
      </c>
      <c r="I36" s="40" t="n"/>
      <c r="J36" s="40" t="n"/>
      <c r="K36" s="14">
        <f>IF($F36="","",ROUND(IF($E36="Upfront",$F36/IF($G36="",1,$G36),$F36)*IFERROR(VLOOKUP($B36,Team!$B$6:$E$8,3,0),0),2))</f>
        <v/>
      </c>
      <c r="L36" s="14">
        <f>IF($F36="","",IF(AND($I36="SDR",$J36&lt;&gt;""),ROUND(IF($E36="Upfront",$F36/IF($G36="",1,$G36),$F36)*IFERROR(VLOOKUP($J36,Team!$B$12:$E$14,3,0),0),2),0))</f>
        <v/>
      </c>
      <c r="M36" s="44">
        <f>IF($F36="","",IF($E36="Upfront",$F36,$F36*IF($G36="",1,$G36)))</f>
        <v/>
      </c>
      <c r="N36" s="41" t="n"/>
    </row>
    <row r="37" ht="16" customHeight="1">
      <c r="A37" s="40" t="n"/>
      <c r="B37" s="40" t="n"/>
      <c r="C37" s="41" t="n"/>
      <c r="D37" s="41" t="n"/>
      <c r="E37" s="40" t="n"/>
      <c r="F37" s="42" t="n"/>
      <c r="G37" s="40" t="n"/>
      <c r="H37" s="43">
        <f>IF($F37="","",ROUND(IF($E37="Upfront",$F37/IF($G37="",1,$G37),$F37),2))</f>
        <v/>
      </c>
      <c r="I37" s="40" t="n"/>
      <c r="J37" s="40" t="n"/>
      <c r="K37" s="14">
        <f>IF($F37="","",ROUND(IF($E37="Upfront",$F37/IF($G37="",1,$G37),$F37)*IFERROR(VLOOKUP($B37,Team!$B$6:$E$8,3,0),0),2))</f>
        <v/>
      </c>
      <c r="L37" s="14">
        <f>IF($F37="","",IF(AND($I37="SDR",$J37&lt;&gt;""),ROUND(IF($E37="Upfront",$F37/IF($G37="",1,$G37),$F37)*IFERROR(VLOOKUP($J37,Team!$B$12:$E$14,3,0),0),2),0))</f>
        <v/>
      </c>
      <c r="M37" s="44">
        <f>IF($F37="","",IF($E37="Upfront",$F37,$F37*IF($G37="",1,$G37)))</f>
        <v/>
      </c>
      <c r="N37" s="41" t="n"/>
    </row>
    <row r="38" ht="16" customHeight="1">
      <c r="A38" s="40" t="n"/>
      <c r="B38" s="40" t="n"/>
      <c r="C38" s="41" t="n"/>
      <c r="D38" s="41" t="n"/>
      <c r="E38" s="40" t="n"/>
      <c r="F38" s="42" t="n"/>
      <c r="G38" s="40" t="n"/>
      <c r="H38" s="43">
        <f>IF($F38="","",ROUND(IF($E38="Upfront",$F38/IF($G38="",1,$G38),$F38),2))</f>
        <v/>
      </c>
      <c r="I38" s="40" t="n"/>
      <c r="J38" s="40" t="n"/>
      <c r="K38" s="14">
        <f>IF($F38="","",ROUND(IF($E38="Upfront",$F38/IF($G38="",1,$G38),$F38)*IFERROR(VLOOKUP($B38,Team!$B$6:$E$8,3,0),0),2))</f>
        <v/>
      </c>
      <c r="L38" s="14">
        <f>IF($F38="","",IF(AND($I38="SDR",$J38&lt;&gt;""),ROUND(IF($E38="Upfront",$F38/IF($G38="",1,$G38),$F38)*IFERROR(VLOOKUP($J38,Team!$B$12:$E$14,3,0),0),2),0))</f>
        <v/>
      </c>
      <c r="M38" s="44">
        <f>IF($F38="","",IF($E38="Upfront",$F38,$F38*IF($G38="",1,$G38)))</f>
        <v/>
      </c>
      <c r="N38" s="41" t="n"/>
    </row>
    <row r="39" ht="16" customHeight="1">
      <c r="A39" s="40" t="n"/>
      <c r="B39" s="40" t="n"/>
      <c r="C39" s="41" t="n"/>
      <c r="D39" s="41" t="n"/>
      <c r="E39" s="40" t="n"/>
      <c r="F39" s="42" t="n"/>
      <c r="G39" s="40" t="n"/>
      <c r="H39" s="43">
        <f>IF($F39="","",ROUND(IF($E39="Upfront",$F39/IF($G39="",1,$G39),$F39),2))</f>
        <v/>
      </c>
      <c r="I39" s="40" t="n"/>
      <c r="J39" s="40" t="n"/>
      <c r="K39" s="14">
        <f>IF($F39="","",ROUND(IF($E39="Upfront",$F39/IF($G39="",1,$G39),$F39)*IFERROR(VLOOKUP($B39,Team!$B$6:$E$8,3,0),0),2))</f>
        <v/>
      </c>
      <c r="L39" s="14">
        <f>IF($F39="","",IF(AND($I39="SDR",$J39&lt;&gt;""),ROUND(IF($E39="Upfront",$F39/IF($G39="",1,$G39),$F39)*IFERROR(VLOOKUP($J39,Team!$B$12:$E$14,3,0),0),2),0))</f>
        <v/>
      </c>
      <c r="M39" s="44">
        <f>IF($F39="","",IF($E39="Upfront",$F39,$F39*IF($G39="",1,$G39)))</f>
        <v/>
      </c>
      <c r="N39" s="41" t="n"/>
    </row>
    <row r="40" ht="16" customHeight="1">
      <c r="A40" s="40" t="n"/>
      <c r="B40" s="40" t="n"/>
      <c r="C40" s="41" t="n"/>
      <c r="D40" s="41" t="n"/>
      <c r="E40" s="40" t="n"/>
      <c r="F40" s="42" t="n"/>
      <c r="G40" s="40" t="n"/>
      <c r="H40" s="43">
        <f>IF($F40="","",ROUND(IF($E40="Upfront",$F40/IF($G40="",1,$G40),$F40),2))</f>
        <v/>
      </c>
      <c r="I40" s="40" t="n"/>
      <c r="J40" s="40" t="n"/>
      <c r="K40" s="14">
        <f>IF($F40="","",ROUND(IF($E40="Upfront",$F40/IF($G40="",1,$G40),$F40)*IFERROR(VLOOKUP($B40,Team!$B$6:$E$8,3,0),0),2))</f>
        <v/>
      </c>
      <c r="L40" s="14">
        <f>IF($F40="","",IF(AND($I40="SDR",$J40&lt;&gt;""),ROUND(IF($E40="Upfront",$F40/IF($G40="",1,$G40),$F40)*IFERROR(VLOOKUP($J40,Team!$B$12:$E$14,3,0),0),2),0))</f>
        <v/>
      </c>
      <c r="M40" s="44">
        <f>IF($F40="","",IF($E40="Upfront",$F40,$F40*IF($G40="",1,$G40)))</f>
        <v/>
      </c>
      <c r="N40" s="41" t="n"/>
    </row>
    <row r="41" ht="16" customHeight="1">
      <c r="A41" s="40" t="n"/>
      <c r="B41" s="40" t="n"/>
      <c r="C41" s="41" t="n"/>
      <c r="D41" s="41" t="n"/>
      <c r="E41" s="40" t="n"/>
      <c r="F41" s="42" t="n"/>
      <c r="G41" s="40" t="n"/>
      <c r="H41" s="43">
        <f>IF($F41="","",ROUND(IF($E41="Upfront",$F41/IF($G41="",1,$G41),$F41),2))</f>
        <v/>
      </c>
      <c r="I41" s="40" t="n"/>
      <c r="J41" s="40" t="n"/>
      <c r="K41" s="14">
        <f>IF($F41="","",ROUND(IF($E41="Upfront",$F41/IF($G41="",1,$G41),$F41)*IFERROR(VLOOKUP($B41,Team!$B$6:$E$8,3,0),0),2))</f>
        <v/>
      </c>
      <c r="L41" s="14">
        <f>IF($F41="","",IF(AND($I41="SDR",$J41&lt;&gt;""),ROUND(IF($E41="Upfront",$F41/IF($G41="",1,$G41),$F41)*IFERROR(VLOOKUP($J41,Team!$B$12:$E$14,3,0),0),2),0))</f>
        <v/>
      </c>
      <c r="M41" s="44">
        <f>IF($F41="","",IF($E41="Upfront",$F41,$F41*IF($G41="",1,$G41)))</f>
        <v/>
      </c>
      <c r="N41" s="41" t="n"/>
    </row>
    <row r="42" ht="16" customHeight="1">
      <c r="A42" s="40" t="n"/>
      <c r="B42" s="40" t="n"/>
      <c r="C42" s="41" t="n"/>
      <c r="D42" s="41" t="n"/>
      <c r="E42" s="40" t="n"/>
      <c r="F42" s="42" t="n"/>
      <c r="G42" s="40" t="n"/>
      <c r="H42" s="43">
        <f>IF($F42="","",ROUND(IF($E42="Upfront",$F42/IF($G42="",1,$G42),$F42),2))</f>
        <v/>
      </c>
      <c r="I42" s="40" t="n"/>
      <c r="J42" s="40" t="n"/>
      <c r="K42" s="14">
        <f>IF($F42="","",ROUND(IF($E42="Upfront",$F42/IF($G42="",1,$G42),$F42)*IFERROR(VLOOKUP($B42,Team!$B$6:$E$8,3,0),0),2))</f>
        <v/>
      </c>
      <c r="L42" s="14">
        <f>IF($F42="","",IF(AND($I42="SDR",$J42&lt;&gt;""),ROUND(IF($E42="Upfront",$F42/IF($G42="",1,$G42),$F42)*IFERROR(VLOOKUP($J42,Team!$B$12:$E$14,3,0),0),2),0))</f>
        <v/>
      </c>
      <c r="M42" s="44">
        <f>IF($F42="","",IF($E42="Upfront",$F42,$F42*IF($G42="",1,$G42)))</f>
        <v/>
      </c>
      <c r="N42" s="41" t="n"/>
    </row>
    <row r="43" ht="16" customHeight="1">
      <c r="A43" s="40" t="n"/>
      <c r="B43" s="40" t="n"/>
      <c r="C43" s="41" t="n"/>
      <c r="D43" s="41" t="n"/>
      <c r="E43" s="40" t="n"/>
      <c r="F43" s="42" t="n"/>
      <c r="G43" s="40" t="n"/>
      <c r="H43" s="43">
        <f>IF($F43="","",ROUND(IF($E43="Upfront",$F43/IF($G43="",1,$G43),$F43),2))</f>
        <v/>
      </c>
      <c r="I43" s="40" t="n"/>
      <c r="J43" s="40" t="n"/>
      <c r="K43" s="14">
        <f>IF($F43="","",ROUND(IF($E43="Upfront",$F43/IF($G43="",1,$G43),$F43)*IFERROR(VLOOKUP($B43,Team!$B$6:$E$8,3,0),0),2))</f>
        <v/>
      </c>
      <c r="L43" s="14">
        <f>IF($F43="","",IF(AND($I43="SDR",$J43&lt;&gt;""),ROUND(IF($E43="Upfront",$F43/IF($G43="",1,$G43),$F43)*IFERROR(VLOOKUP($J43,Team!$B$12:$E$14,3,0),0),2),0))</f>
        <v/>
      </c>
      <c r="M43" s="44">
        <f>IF($F43="","",IF($E43="Upfront",$F43,$F43*IF($G43="",1,$G43)))</f>
        <v/>
      </c>
      <c r="N43" s="41" t="n"/>
    </row>
    <row r="44" ht="16" customHeight="1">
      <c r="A44" s="40" t="n"/>
      <c r="B44" s="40" t="n"/>
      <c r="C44" s="41" t="n"/>
      <c r="D44" s="41" t="n"/>
      <c r="E44" s="40" t="n"/>
      <c r="F44" s="42" t="n"/>
      <c r="G44" s="40" t="n"/>
      <c r="H44" s="43">
        <f>IF($F44="","",ROUND(IF($E44="Upfront",$F44/IF($G44="",1,$G44),$F44),2))</f>
        <v/>
      </c>
      <c r="I44" s="40" t="n"/>
      <c r="J44" s="40" t="n"/>
      <c r="K44" s="14">
        <f>IF($F44="","",ROUND(IF($E44="Upfront",$F44/IF($G44="",1,$G44),$F44)*IFERROR(VLOOKUP($B44,Team!$B$6:$E$8,3,0),0),2))</f>
        <v/>
      </c>
      <c r="L44" s="14">
        <f>IF($F44="","",IF(AND($I44="SDR",$J44&lt;&gt;""),ROUND(IF($E44="Upfront",$F44/IF($G44="",1,$G44),$F44)*IFERROR(VLOOKUP($J44,Team!$B$12:$E$14,3,0),0),2),0))</f>
        <v/>
      </c>
      <c r="M44" s="44">
        <f>IF($F44="","",IF($E44="Upfront",$F44,$F44*IF($G44="",1,$G44)))</f>
        <v/>
      </c>
      <c r="N44" s="41" t="n"/>
    </row>
    <row r="45" ht="16" customHeight="1">
      <c r="A45" s="40" t="n"/>
      <c r="B45" s="40" t="n"/>
      <c r="C45" s="41" t="n"/>
      <c r="D45" s="41" t="n"/>
      <c r="E45" s="40" t="n"/>
      <c r="F45" s="42" t="n"/>
      <c r="G45" s="40" t="n"/>
      <c r="H45" s="43">
        <f>IF($F45="","",ROUND(IF($E45="Upfront",$F45/IF($G45="",1,$G45),$F45),2))</f>
        <v/>
      </c>
      <c r="I45" s="40" t="n"/>
      <c r="J45" s="40" t="n"/>
      <c r="K45" s="14">
        <f>IF($F45="","",ROUND(IF($E45="Upfront",$F45/IF($G45="",1,$G45),$F45)*IFERROR(VLOOKUP($B45,Team!$B$6:$E$8,3,0),0),2))</f>
        <v/>
      </c>
      <c r="L45" s="14">
        <f>IF($F45="","",IF(AND($I45="SDR",$J45&lt;&gt;""),ROUND(IF($E45="Upfront",$F45/IF($G45="",1,$G45),$F45)*IFERROR(VLOOKUP($J45,Team!$B$12:$E$14,3,0),0),2),0))</f>
        <v/>
      </c>
      <c r="M45" s="44">
        <f>IF($F45="","",IF($E45="Upfront",$F45,$F45*IF($G45="",1,$G45)))</f>
        <v/>
      </c>
      <c r="N45" s="41" t="n"/>
    </row>
    <row r="46" ht="16" customHeight="1">
      <c r="A46" s="40" t="n"/>
      <c r="B46" s="40" t="n"/>
      <c r="C46" s="41" t="n"/>
      <c r="D46" s="41" t="n"/>
      <c r="E46" s="40" t="n"/>
      <c r="F46" s="42" t="n"/>
      <c r="G46" s="40" t="n"/>
      <c r="H46" s="43">
        <f>IF($F46="","",ROUND(IF($E46="Upfront",$F46/IF($G46="",1,$G46),$F46),2))</f>
        <v/>
      </c>
      <c r="I46" s="40" t="n"/>
      <c r="J46" s="40" t="n"/>
      <c r="K46" s="14">
        <f>IF($F46="","",ROUND(IF($E46="Upfront",$F46/IF($G46="",1,$G46),$F46)*IFERROR(VLOOKUP($B46,Team!$B$6:$E$8,3,0),0),2))</f>
        <v/>
      </c>
      <c r="L46" s="14">
        <f>IF($F46="","",IF(AND($I46="SDR",$J46&lt;&gt;""),ROUND(IF($E46="Upfront",$F46/IF($G46="",1,$G46),$F46)*IFERROR(VLOOKUP($J46,Team!$B$12:$E$14,3,0),0),2),0))</f>
        <v/>
      </c>
      <c r="M46" s="44">
        <f>IF($F46="","",IF($E46="Upfront",$F46,$F46*IF($G46="",1,$G46)))</f>
        <v/>
      </c>
      <c r="N46" s="41" t="n"/>
    </row>
    <row r="47" ht="16" customHeight="1">
      <c r="A47" s="40" t="n"/>
      <c r="B47" s="40" t="n"/>
      <c r="C47" s="41" t="n"/>
      <c r="D47" s="41" t="n"/>
      <c r="E47" s="40" t="n"/>
      <c r="F47" s="42" t="n"/>
      <c r="G47" s="40" t="n"/>
      <c r="H47" s="43">
        <f>IF($F47="","",ROUND(IF($E47="Upfront",$F47/IF($G47="",1,$G47),$F47),2))</f>
        <v/>
      </c>
      <c r="I47" s="40" t="n"/>
      <c r="J47" s="40" t="n"/>
      <c r="K47" s="14">
        <f>IF($F47="","",ROUND(IF($E47="Upfront",$F47/IF($G47="",1,$G47),$F47)*IFERROR(VLOOKUP($B47,Team!$B$6:$E$8,3,0),0),2))</f>
        <v/>
      </c>
      <c r="L47" s="14">
        <f>IF($F47="","",IF(AND($I47="SDR",$J47&lt;&gt;""),ROUND(IF($E47="Upfront",$F47/IF($G47="",1,$G47),$F47)*IFERROR(VLOOKUP($J47,Team!$B$12:$E$14,3,0),0),2),0))</f>
        <v/>
      </c>
      <c r="M47" s="44">
        <f>IF($F47="","",IF($E47="Upfront",$F47,$F47*IF($G47="",1,$G47)))</f>
        <v/>
      </c>
      <c r="N47" s="41" t="n"/>
    </row>
    <row r="48" ht="16" customHeight="1">
      <c r="A48" s="40" t="n"/>
      <c r="B48" s="40" t="n"/>
      <c r="C48" s="41" t="n"/>
      <c r="D48" s="41" t="n"/>
      <c r="E48" s="40" t="n"/>
      <c r="F48" s="42" t="n"/>
      <c r="G48" s="40" t="n"/>
      <c r="H48" s="43">
        <f>IF($F48="","",ROUND(IF($E48="Upfront",$F48/IF($G48="",1,$G48),$F48),2))</f>
        <v/>
      </c>
      <c r="I48" s="40" t="n"/>
      <c r="J48" s="40" t="n"/>
      <c r="K48" s="14">
        <f>IF($F48="","",ROUND(IF($E48="Upfront",$F48/IF($G48="",1,$G48),$F48)*IFERROR(VLOOKUP($B48,Team!$B$6:$E$8,3,0),0),2))</f>
        <v/>
      </c>
      <c r="L48" s="14">
        <f>IF($F48="","",IF(AND($I48="SDR",$J48&lt;&gt;""),ROUND(IF($E48="Upfront",$F48/IF($G48="",1,$G48),$F48)*IFERROR(VLOOKUP($J48,Team!$B$12:$E$14,3,0),0),2),0))</f>
        <v/>
      </c>
      <c r="M48" s="44">
        <f>IF($F48="","",IF($E48="Upfront",$F48,$F48*IF($G48="",1,$G48)))</f>
        <v/>
      </c>
      <c r="N48" s="41" t="n"/>
    </row>
    <row r="49" ht="16" customHeight="1">
      <c r="A49" s="40" t="n"/>
      <c r="B49" s="40" t="n"/>
      <c r="C49" s="41" t="n"/>
      <c r="D49" s="41" t="n"/>
      <c r="E49" s="40" t="n"/>
      <c r="F49" s="42" t="n"/>
      <c r="G49" s="40" t="n"/>
      <c r="H49" s="43">
        <f>IF($F49="","",ROUND(IF($E49="Upfront",$F49/IF($G49="",1,$G49),$F49),2))</f>
        <v/>
      </c>
      <c r="I49" s="40" t="n"/>
      <c r="J49" s="40" t="n"/>
      <c r="K49" s="14">
        <f>IF($F49="","",ROUND(IF($E49="Upfront",$F49/IF($G49="",1,$G49),$F49)*IFERROR(VLOOKUP($B49,Team!$B$6:$E$8,3,0),0),2))</f>
        <v/>
      </c>
      <c r="L49" s="14">
        <f>IF($F49="","",IF(AND($I49="SDR",$J49&lt;&gt;""),ROUND(IF($E49="Upfront",$F49/IF($G49="",1,$G49),$F49)*IFERROR(VLOOKUP($J49,Team!$B$12:$E$14,3,0),0),2),0))</f>
        <v/>
      </c>
      <c r="M49" s="44">
        <f>IF($F49="","",IF($E49="Upfront",$F49,$F49*IF($G49="",1,$G49)))</f>
        <v/>
      </c>
      <c r="N49" s="41" t="n"/>
    </row>
    <row r="50" ht="16" customHeight="1">
      <c r="A50" s="40" t="n"/>
      <c r="B50" s="40" t="n"/>
      <c r="C50" s="41" t="n"/>
      <c r="D50" s="41" t="n"/>
      <c r="E50" s="40" t="n"/>
      <c r="F50" s="42" t="n"/>
      <c r="G50" s="40" t="n"/>
      <c r="H50" s="43">
        <f>IF($F50="","",ROUND(IF($E50="Upfront",$F50/IF($G50="",1,$G50),$F50),2))</f>
        <v/>
      </c>
      <c r="I50" s="40" t="n"/>
      <c r="J50" s="40" t="n"/>
      <c r="K50" s="14">
        <f>IF($F50="","",ROUND(IF($E50="Upfront",$F50/IF($G50="",1,$G50),$F50)*IFERROR(VLOOKUP($B50,Team!$B$6:$E$8,3,0),0),2))</f>
        <v/>
      </c>
      <c r="L50" s="14">
        <f>IF($F50="","",IF(AND($I50="SDR",$J50&lt;&gt;""),ROUND(IF($E50="Upfront",$F50/IF($G50="",1,$G50),$F50)*IFERROR(VLOOKUP($J50,Team!$B$12:$E$14,3,0),0),2),0))</f>
        <v/>
      </c>
      <c r="M50" s="44">
        <f>IF($F50="","",IF($E50="Upfront",$F50,$F50*IF($G50="",1,$G50)))</f>
        <v/>
      </c>
      <c r="N50" s="41" t="n"/>
    </row>
    <row r="51" ht="16" customHeight="1">
      <c r="A51" s="40" t="n"/>
      <c r="B51" s="40" t="n"/>
      <c r="C51" s="41" t="n"/>
      <c r="D51" s="41" t="n"/>
      <c r="E51" s="40" t="n"/>
      <c r="F51" s="42" t="n"/>
      <c r="G51" s="40" t="n"/>
      <c r="H51" s="43">
        <f>IF($F51="","",ROUND(IF($E51="Upfront",$F51/IF($G51="",1,$G51),$F51),2))</f>
        <v/>
      </c>
      <c r="I51" s="40" t="n"/>
      <c r="J51" s="40" t="n"/>
      <c r="K51" s="14">
        <f>IF($F51="","",ROUND(IF($E51="Upfront",$F51/IF($G51="",1,$G51),$F51)*IFERROR(VLOOKUP($B51,Team!$B$6:$E$8,3,0),0),2))</f>
        <v/>
      </c>
      <c r="L51" s="14">
        <f>IF($F51="","",IF(AND($I51="SDR",$J51&lt;&gt;""),ROUND(IF($E51="Upfront",$F51/IF($G51="",1,$G51),$F51)*IFERROR(VLOOKUP($J51,Team!$B$12:$E$14,3,0),0),2),0))</f>
        <v/>
      </c>
      <c r="M51" s="44">
        <f>IF($F51="","",IF($E51="Upfront",$F51,$F51*IF($G51="",1,$G51)))</f>
        <v/>
      </c>
      <c r="N51" s="41" t="n"/>
    </row>
    <row r="52" ht="16" customHeight="1">
      <c r="A52" s="40" t="n"/>
      <c r="B52" s="40" t="n"/>
      <c r="C52" s="41" t="n"/>
      <c r="D52" s="41" t="n"/>
      <c r="E52" s="40" t="n"/>
      <c r="F52" s="42" t="n"/>
      <c r="G52" s="40" t="n"/>
      <c r="H52" s="43">
        <f>IF($F52="","",ROUND(IF($E52="Upfront",$F52/IF($G52="",1,$G52),$F52),2))</f>
        <v/>
      </c>
      <c r="I52" s="40" t="n"/>
      <c r="J52" s="40" t="n"/>
      <c r="K52" s="14">
        <f>IF($F52="","",ROUND(IF($E52="Upfront",$F52/IF($G52="",1,$G52),$F52)*IFERROR(VLOOKUP($B52,Team!$B$6:$E$8,3,0),0),2))</f>
        <v/>
      </c>
      <c r="L52" s="14">
        <f>IF($F52="","",IF(AND($I52="SDR",$J52&lt;&gt;""),ROUND(IF($E52="Upfront",$F52/IF($G52="",1,$G52),$F52)*IFERROR(VLOOKUP($J52,Team!$B$12:$E$14,3,0),0),2),0))</f>
        <v/>
      </c>
      <c r="M52" s="44">
        <f>IF($F52="","",IF($E52="Upfront",$F52,$F52*IF($G52="",1,$G52)))</f>
        <v/>
      </c>
      <c r="N52" s="41" t="n"/>
    </row>
    <row r="53" ht="16" customHeight="1">
      <c r="A53" s="40" t="n"/>
      <c r="B53" s="40" t="n"/>
      <c r="C53" s="41" t="n"/>
      <c r="D53" s="41" t="n"/>
      <c r="E53" s="40" t="n"/>
      <c r="F53" s="42" t="n"/>
      <c r="G53" s="40" t="n"/>
      <c r="H53" s="43">
        <f>IF($F53="","",ROUND(IF($E53="Upfront",$F53/IF($G53="",1,$G53),$F53),2))</f>
        <v/>
      </c>
      <c r="I53" s="40" t="n"/>
      <c r="J53" s="40" t="n"/>
      <c r="K53" s="14">
        <f>IF($F53="","",ROUND(IF($E53="Upfront",$F53/IF($G53="",1,$G53),$F53)*IFERROR(VLOOKUP($B53,Team!$B$6:$E$8,3,0),0),2))</f>
        <v/>
      </c>
      <c r="L53" s="14">
        <f>IF($F53="","",IF(AND($I53="SDR",$J53&lt;&gt;""),ROUND(IF($E53="Upfront",$F53/IF($G53="",1,$G53),$F53)*IFERROR(VLOOKUP($J53,Team!$B$12:$E$14,3,0),0),2),0))</f>
        <v/>
      </c>
      <c r="M53" s="44">
        <f>IF($F53="","",IF($E53="Upfront",$F53,$F53*IF($G53="",1,$G53)))</f>
        <v/>
      </c>
      <c r="N53" s="41" t="n"/>
    </row>
    <row r="54" ht="16" customHeight="1">
      <c r="A54" s="40" t="n"/>
      <c r="B54" s="40" t="n"/>
      <c r="C54" s="41" t="n"/>
      <c r="D54" s="41" t="n"/>
      <c r="E54" s="40" t="n"/>
      <c r="F54" s="42" t="n"/>
      <c r="G54" s="40" t="n"/>
      <c r="H54" s="43">
        <f>IF($F54="","",ROUND(IF($E54="Upfront",$F54/IF($G54="",1,$G54),$F54),2))</f>
        <v/>
      </c>
      <c r="I54" s="40" t="n"/>
      <c r="J54" s="40" t="n"/>
      <c r="K54" s="14">
        <f>IF($F54="","",ROUND(IF($E54="Upfront",$F54/IF($G54="",1,$G54),$F54)*IFERROR(VLOOKUP($B54,Team!$B$6:$E$8,3,0),0),2))</f>
        <v/>
      </c>
      <c r="L54" s="14">
        <f>IF($F54="","",IF(AND($I54="SDR",$J54&lt;&gt;""),ROUND(IF($E54="Upfront",$F54/IF($G54="",1,$G54),$F54)*IFERROR(VLOOKUP($J54,Team!$B$12:$E$14,3,0),0),2),0))</f>
        <v/>
      </c>
      <c r="M54" s="44">
        <f>IF($F54="","",IF($E54="Upfront",$F54,$F54*IF($G54="",1,$G54)))</f>
        <v/>
      </c>
      <c r="N54" s="41" t="n"/>
    </row>
    <row r="55" ht="16" customHeight="1">
      <c r="A55" s="40" t="n"/>
      <c r="B55" s="40" t="n"/>
      <c r="C55" s="41" t="n"/>
      <c r="D55" s="41" t="n"/>
      <c r="E55" s="40" t="n"/>
      <c r="F55" s="42" t="n"/>
      <c r="G55" s="40" t="n"/>
      <c r="H55" s="43">
        <f>IF($F55="","",ROUND(IF($E55="Upfront",$F55/IF($G55="",1,$G55),$F55),2))</f>
        <v/>
      </c>
      <c r="I55" s="40" t="n"/>
      <c r="J55" s="40" t="n"/>
      <c r="K55" s="14">
        <f>IF($F55="","",ROUND(IF($E55="Upfront",$F55/IF($G55="",1,$G55),$F55)*IFERROR(VLOOKUP($B55,Team!$B$6:$E$8,3,0),0),2))</f>
        <v/>
      </c>
      <c r="L55" s="14">
        <f>IF($F55="","",IF(AND($I55="SDR",$J55&lt;&gt;""),ROUND(IF($E55="Upfront",$F55/IF($G55="",1,$G55),$F55)*IFERROR(VLOOKUP($J55,Team!$B$12:$E$14,3,0),0),2),0))</f>
        <v/>
      </c>
      <c r="M55" s="44">
        <f>IF($F55="","",IF($E55="Upfront",$F55,$F55*IF($G55="",1,$G55)))</f>
        <v/>
      </c>
      <c r="N55" s="41" t="n"/>
    </row>
    <row r="56" ht="16" customHeight="1">
      <c r="A56" s="40" t="n"/>
      <c r="B56" s="40" t="n"/>
      <c r="C56" s="41" t="n"/>
      <c r="D56" s="41" t="n"/>
      <c r="E56" s="40" t="n"/>
      <c r="F56" s="42" t="n"/>
      <c r="G56" s="40" t="n"/>
      <c r="H56" s="43">
        <f>IF($F56="","",ROUND(IF($E56="Upfront",$F56/IF($G56="",1,$G56),$F56),2))</f>
        <v/>
      </c>
      <c r="I56" s="40" t="n"/>
      <c r="J56" s="40" t="n"/>
      <c r="K56" s="14">
        <f>IF($F56="","",ROUND(IF($E56="Upfront",$F56/IF($G56="",1,$G56),$F56)*IFERROR(VLOOKUP($B56,Team!$B$6:$E$8,3,0),0),2))</f>
        <v/>
      </c>
      <c r="L56" s="14">
        <f>IF($F56="","",IF(AND($I56="SDR",$J56&lt;&gt;""),ROUND(IF($E56="Upfront",$F56/IF($G56="",1,$G56),$F56)*IFERROR(VLOOKUP($J56,Team!$B$12:$E$14,3,0),0),2),0))</f>
        <v/>
      </c>
      <c r="M56" s="44">
        <f>IF($F56="","",IF($E56="Upfront",$F56,$F56*IF($G56="",1,$G56)))</f>
        <v/>
      </c>
      <c r="N56" s="41" t="n"/>
    </row>
    <row r="57" ht="16" customHeight="1">
      <c r="A57" s="40" t="n"/>
      <c r="B57" s="40" t="n"/>
      <c r="C57" s="41" t="n"/>
      <c r="D57" s="41" t="n"/>
      <c r="E57" s="40" t="n"/>
      <c r="F57" s="42" t="n"/>
      <c r="G57" s="40" t="n"/>
      <c r="H57" s="43">
        <f>IF($F57="","",ROUND(IF($E57="Upfront",$F57/IF($G57="",1,$G57),$F57),2))</f>
        <v/>
      </c>
      <c r="I57" s="40" t="n"/>
      <c r="J57" s="40" t="n"/>
      <c r="K57" s="14">
        <f>IF($F57="","",ROUND(IF($E57="Upfront",$F57/IF($G57="",1,$G57),$F57)*IFERROR(VLOOKUP($B57,Team!$B$6:$E$8,3,0),0),2))</f>
        <v/>
      </c>
      <c r="L57" s="14">
        <f>IF($F57="","",IF(AND($I57="SDR",$J57&lt;&gt;""),ROUND(IF($E57="Upfront",$F57/IF($G57="",1,$G57),$F57)*IFERROR(VLOOKUP($J57,Team!$B$12:$E$14,3,0),0),2),0))</f>
        <v/>
      </c>
      <c r="M57" s="44">
        <f>IF($F57="","",IF($E57="Upfront",$F57,$F57*IF($G57="",1,$G57)))</f>
        <v/>
      </c>
      <c r="N57" s="41" t="n"/>
    </row>
    <row r="58" ht="16" customHeight="1">
      <c r="A58" s="40" t="n"/>
      <c r="B58" s="40" t="n"/>
      <c r="C58" s="41" t="n"/>
      <c r="D58" s="41" t="n"/>
      <c r="E58" s="40" t="n"/>
      <c r="F58" s="42" t="n"/>
      <c r="G58" s="40" t="n"/>
      <c r="H58" s="43">
        <f>IF($F58="","",ROUND(IF($E58="Upfront",$F58/IF($G58="",1,$G58),$F58),2))</f>
        <v/>
      </c>
      <c r="I58" s="40" t="n"/>
      <c r="J58" s="40" t="n"/>
      <c r="K58" s="14">
        <f>IF($F58="","",ROUND(IF($E58="Upfront",$F58/IF($G58="",1,$G58),$F58)*IFERROR(VLOOKUP($B58,Team!$B$6:$E$8,3,0),0),2))</f>
        <v/>
      </c>
      <c r="L58" s="14">
        <f>IF($F58="","",IF(AND($I58="SDR",$J58&lt;&gt;""),ROUND(IF($E58="Upfront",$F58/IF($G58="",1,$G58),$F58)*IFERROR(VLOOKUP($J58,Team!$B$12:$E$14,3,0),0),2),0))</f>
        <v/>
      </c>
      <c r="M58" s="44">
        <f>IF($F58="","",IF($E58="Upfront",$F58,$F58*IF($G58="",1,$G58)))</f>
        <v/>
      </c>
      <c r="N58" s="41" t="n"/>
    </row>
    <row r="59" ht="16" customHeight="1">
      <c r="A59" s="40" t="n"/>
      <c r="B59" s="40" t="n"/>
      <c r="C59" s="41" t="n"/>
      <c r="D59" s="41" t="n"/>
      <c r="E59" s="40" t="n"/>
      <c r="F59" s="42" t="n"/>
      <c r="G59" s="40" t="n"/>
      <c r="H59" s="43">
        <f>IF($F59="","",ROUND(IF($E59="Upfront",$F59/IF($G59="",1,$G59),$F59),2))</f>
        <v/>
      </c>
      <c r="I59" s="40" t="n"/>
      <c r="J59" s="40" t="n"/>
      <c r="K59" s="14">
        <f>IF($F59="","",ROUND(IF($E59="Upfront",$F59/IF($G59="",1,$G59),$F59)*IFERROR(VLOOKUP($B59,Team!$B$6:$E$8,3,0),0),2))</f>
        <v/>
      </c>
      <c r="L59" s="14">
        <f>IF($F59="","",IF(AND($I59="SDR",$J59&lt;&gt;""),ROUND(IF($E59="Upfront",$F59/IF($G59="",1,$G59),$F59)*IFERROR(VLOOKUP($J59,Team!$B$12:$E$14,3,0),0),2),0))</f>
        <v/>
      </c>
      <c r="M59" s="44">
        <f>IF($F59="","",IF($E59="Upfront",$F59,$F59*IF($G59="",1,$G59)))</f>
        <v/>
      </c>
      <c r="N59" s="41" t="n"/>
    </row>
    <row r="60" ht="16" customHeight="1">
      <c r="A60" s="40" t="n"/>
      <c r="B60" s="40" t="n"/>
      <c r="C60" s="41" t="n"/>
      <c r="D60" s="41" t="n"/>
      <c r="E60" s="40" t="n"/>
      <c r="F60" s="42" t="n"/>
      <c r="G60" s="40" t="n"/>
      <c r="H60" s="43">
        <f>IF($F60="","",ROUND(IF($E60="Upfront",$F60/IF($G60="",1,$G60),$F60),2))</f>
        <v/>
      </c>
      <c r="I60" s="40" t="n"/>
      <c r="J60" s="40" t="n"/>
      <c r="K60" s="14">
        <f>IF($F60="","",ROUND(IF($E60="Upfront",$F60/IF($G60="",1,$G60),$F60)*IFERROR(VLOOKUP($B60,Team!$B$6:$E$8,3,0),0),2))</f>
        <v/>
      </c>
      <c r="L60" s="14">
        <f>IF($F60="","",IF(AND($I60="SDR",$J60&lt;&gt;""),ROUND(IF($E60="Upfront",$F60/IF($G60="",1,$G60),$F60)*IFERROR(VLOOKUP($J60,Team!$B$12:$E$14,3,0),0),2),0))</f>
        <v/>
      </c>
      <c r="M60" s="44">
        <f>IF($F60="","",IF($E60="Upfront",$F60,$F60*IF($G60="",1,$G60)))</f>
        <v/>
      </c>
      <c r="N60" s="41" t="n"/>
    </row>
    <row r="61" ht="16" customHeight="1">
      <c r="A61" s="40" t="n"/>
      <c r="B61" s="40" t="n"/>
      <c r="C61" s="41" t="n"/>
      <c r="D61" s="41" t="n"/>
      <c r="E61" s="40" t="n"/>
      <c r="F61" s="42" t="n"/>
      <c r="G61" s="40" t="n"/>
      <c r="H61" s="43">
        <f>IF($F61="","",ROUND(IF($E61="Upfront",$F61/IF($G61="",1,$G61),$F61),2))</f>
        <v/>
      </c>
      <c r="I61" s="40" t="n"/>
      <c r="J61" s="40" t="n"/>
      <c r="K61" s="14">
        <f>IF($F61="","",ROUND(IF($E61="Upfront",$F61/IF($G61="",1,$G61),$F61)*IFERROR(VLOOKUP($B61,Team!$B$6:$E$8,3,0),0),2))</f>
        <v/>
      </c>
      <c r="L61" s="14">
        <f>IF($F61="","",IF(AND($I61="SDR",$J61&lt;&gt;""),ROUND(IF($E61="Upfront",$F61/IF($G61="",1,$G61),$F61)*IFERROR(VLOOKUP($J61,Team!$B$12:$E$14,3,0),0),2),0))</f>
        <v/>
      </c>
      <c r="M61" s="44">
        <f>IF($F61="","",IF($E61="Upfront",$F61,$F61*IF($G61="",1,$G61)))</f>
        <v/>
      </c>
      <c r="N61" s="41" t="n"/>
    </row>
    <row r="62" ht="16" customHeight="1">
      <c r="A62" s="40" t="n"/>
      <c r="B62" s="40" t="n"/>
      <c r="C62" s="41" t="n"/>
      <c r="D62" s="41" t="n"/>
      <c r="E62" s="40" t="n"/>
      <c r="F62" s="42" t="n"/>
      <c r="G62" s="40" t="n"/>
      <c r="H62" s="43">
        <f>IF($F62="","",ROUND(IF($E62="Upfront",$F62/IF($G62="",1,$G62),$F62),2))</f>
        <v/>
      </c>
      <c r="I62" s="40" t="n"/>
      <c r="J62" s="40" t="n"/>
      <c r="K62" s="14">
        <f>IF($F62="","",ROUND(IF($E62="Upfront",$F62/IF($G62="",1,$G62),$F62)*IFERROR(VLOOKUP($B62,Team!$B$6:$E$8,3,0),0),2))</f>
        <v/>
      </c>
      <c r="L62" s="14">
        <f>IF($F62="","",IF(AND($I62="SDR",$J62&lt;&gt;""),ROUND(IF($E62="Upfront",$F62/IF($G62="",1,$G62),$F62)*IFERROR(VLOOKUP($J62,Team!$B$12:$E$14,3,0),0),2),0))</f>
        <v/>
      </c>
      <c r="M62" s="44">
        <f>IF($F62="","",IF($E62="Upfront",$F62,$F62*IF($G62="",1,$G62)))</f>
        <v/>
      </c>
      <c r="N62" s="41" t="n"/>
    </row>
    <row r="63" ht="16" customHeight="1">
      <c r="A63" s="40" t="n"/>
      <c r="B63" s="40" t="n"/>
      <c r="C63" s="41" t="n"/>
      <c r="D63" s="41" t="n"/>
      <c r="E63" s="40" t="n"/>
      <c r="F63" s="42" t="n"/>
      <c r="G63" s="40" t="n"/>
      <c r="H63" s="43">
        <f>IF($F63="","",ROUND(IF($E63="Upfront",$F63/IF($G63="",1,$G63),$F63),2))</f>
        <v/>
      </c>
      <c r="I63" s="40" t="n"/>
      <c r="J63" s="40" t="n"/>
      <c r="K63" s="14">
        <f>IF($F63="","",ROUND(IF($E63="Upfront",$F63/IF($G63="",1,$G63),$F63)*IFERROR(VLOOKUP($B63,Team!$B$6:$E$8,3,0),0),2))</f>
        <v/>
      </c>
      <c r="L63" s="14">
        <f>IF($F63="","",IF(AND($I63="SDR",$J63&lt;&gt;""),ROUND(IF($E63="Upfront",$F63/IF($G63="",1,$G63),$F63)*IFERROR(VLOOKUP($J63,Team!$B$12:$E$14,3,0),0),2),0))</f>
        <v/>
      </c>
      <c r="M63" s="44">
        <f>IF($F63="","",IF($E63="Upfront",$F63,$F63*IF($G63="",1,$G63)))</f>
        <v/>
      </c>
      <c r="N63" s="41" t="n"/>
    </row>
    <row r="64" ht="16" customHeight="1">
      <c r="A64" s="40" t="n"/>
      <c r="B64" s="40" t="n"/>
      <c r="C64" s="41" t="n"/>
      <c r="D64" s="41" t="n"/>
      <c r="E64" s="40" t="n"/>
      <c r="F64" s="42" t="n"/>
      <c r="G64" s="40" t="n"/>
      <c r="H64" s="43">
        <f>IF($F64="","",ROUND(IF($E64="Upfront",$F64/IF($G64="",1,$G64),$F64),2))</f>
        <v/>
      </c>
      <c r="I64" s="40" t="n"/>
      <c r="J64" s="40" t="n"/>
      <c r="K64" s="14">
        <f>IF($F64="","",ROUND(IF($E64="Upfront",$F64/IF($G64="",1,$G64),$F64)*IFERROR(VLOOKUP($B64,Team!$B$6:$E$8,3,0),0),2))</f>
        <v/>
      </c>
      <c r="L64" s="14">
        <f>IF($F64="","",IF(AND($I64="SDR",$J64&lt;&gt;""),ROUND(IF($E64="Upfront",$F64/IF($G64="",1,$G64),$F64)*IFERROR(VLOOKUP($J64,Team!$B$12:$E$14,3,0),0),2),0))</f>
        <v/>
      </c>
      <c r="M64" s="44">
        <f>IF($F64="","",IF($E64="Upfront",$F64,$F64*IF($G64="",1,$G64)))</f>
        <v/>
      </c>
      <c r="N64" s="41" t="n"/>
    </row>
    <row r="65" ht="16" customHeight="1">
      <c r="A65" s="40" t="n"/>
      <c r="B65" s="40" t="n"/>
      <c r="C65" s="41" t="n"/>
      <c r="D65" s="41" t="n"/>
      <c r="E65" s="40" t="n"/>
      <c r="F65" s="42" t="n"/>
      <c r="G65" s="40" t="n"/>
      <c r="H65" s="43">
        <f>IF($F65="","",ROUND(IF($E65="Upfront",$F65/IF($G65="",1,$G65),$F65),2))</f>
        <v/>
      </c>
      <c r="I65" s="40" t="n"/>
      <c r="J65" s="40" t="n"/>
      <c r="K65" s="14">
        <f>IF($F65="","",ROUND(IF($E65="Upfront",$F65/IF($G65="",1,$G65),$F65)*IFERROR(VLOOKUP($B65,Team!$B$6:$E$8,3,0),0),2))</f>
        <v/>
      </c>
      <c r="L65" s="14">
        <f>IF($F65="","",IF(AND($I65="SDR",$J65&lt;&gt;""),ROUND(IF($E65="Upfront",$F65/IF($G65="",1,$G65),$F65)*IFERROR(VLOOKUP($J65,Team!$B$12:$E$14,3,0),0),2),0))</f>
        <v/>
      </c>
      <c r="M65" s="44">
        <f>IF($F65="","",IF($E65="Upfront",$F65,$F65*IF($G65="",1,$G65)))</f>
        <v/>
      </c>
      <c r="N65" s="41" t="n"/>
    </row>
    <row r="66" ht="16" customHeight="1">
      <c r="A66" s="40" t="n"/>
      <c r="B66" s="40" t="n"/>
      <c r="C66" s="41" t="n"/>
      <c r="D66" s="41" t="n"/>
      <c r="E66" s="40" t="n"/>
      <c r="F66" s="42" t="n"/>
      <c r="G66" s="40" t="n"/>
      <c r="H66" s="43">
        <f>IF($F66="","",ROUND(IF($E66="Upfront",$F66/IF($G66="",1,$G66),$F66),2))</f>
        <v/>
      </c>
      <c r="I66" s="40" t="n"/>
      <c r="J66" s="40" t="n"/>
      <c r="K66" s="14">
        <f>IF($F66="","",ROUND(IF($E66="Upfront",$F66/IF($G66="",1,$G66),$F66)*IFERROR(VLOOKUP($B66,Team!$B$6:$E$8,3,0),0),2))</f>
        <v/>
      </c>
      <c r="L66" s="14">
        <f>IF($F66="","",IF(AND($I66="SDR",$J66&lt;&gt;""),ROUND(IF($E66="Upfront",$F66/IF($G66="",1,$G66),$F66)*IFERROR(VLOOKUP($J66,Team!$B$12:$E$14,3,0),0),2),0))</f>
        <v/>
      </c>
      <c r="M66" s="44">
        <f>IF($F66="","",IF($E66="Upfront",$F66,$F66*IF($G66="",1,$G66)))</f>
        <v/>
      </c>
      <c r="N66" s="41" t="n"/>
    </row>
    <row r="67" ht="16" customHeight="1">
      <c r="A67" s="40" t="n"/>
      <c r="B67" s="40" t="n"/>
      <c r="C67" s="41" t="n"/>
      <c r="D67" s="41" t="n"/>
      <c r="E67" s="40" t="n"/>
      <c r="F67" s="42" t="n"/>
      <c r="G67" s="40" t="n"/>
      <c r="H67" s="43">
        <f>IF($F67="","",ROUND(IF($E67="Upfront",$F67/IF($G67="",1,$G67),$F67),2))</f>
        <v/>
      </c>
      <c r="I67" s="40" t="n"/>
      <c r="J67" s="40" t="n"/>
      <c r="K67" s="14">
        <f>IF($F67="","",ROUND(IF($E67="Upfront",$F67/IF($G67="",1,$G67),$F67)*IFERROR(VLOOKUP($B67,Team!$B$6:$E$8,3,0),0),2))</f>
        <v/>
      </c>
      <c r="L67" s="14">
        <f>IF($F67="","",IF(AND($I67="SDR",$J67&lt;&gt;""),ROUND(IF($E67="Upfront",$F67/IF($G67="",1,$G67),$F67)*IFERROR(VLOOKUP($J67,Team!$B$12:$E$14,3,0),0),2),0))</f>
        <v/>
      </c>
      <c r="M67" s="44">
        <f>IF($F67="","",IF($E67="Upfront",$F67,$F67*IF($G67="",1,$G67)))</f>
        <v/>
      </c>
      <c r="N67" s="41" t="n"/>
    </row>
    <row r="68" ht="16" customHeight="1">
      <c r="A68" s="40" t="n"/>
      <c r="B68" s="40" t="n"/>
      <c r="C68" s="41" t="n"/>
      <c r="D68" s="41" t="n"/>
      <c r="E68" s="40" t="n"/>
      <c r="F68" s="42" t="n"/>
      <c r="G68" s="40" t="n"/>
      <c r="H68" s="43">
        <f>IF($F68="","",ROUND(IF($E68="Upfront",$F68/IF($G68="",1,$G68),$F68),2))</f>
        <v/>
      </c>
      <c r="I68" s="40" t="n"/>
      <c r="J68" s="40" t="n"/>
      <c r="K68" s="14">
        <f>IF($F68="","",ROUND(IF($E68="Upfront",$F68/IF($G68="",1,$G68),$F68)*IFERROR(VLOOKUP($B68,Team!$B$6:$E$8,3,0),0),2))</f>
        <v/>
      </c>
      <c r="L68" s="14">
        <f>IF($F68="","",IF(AND($I68="SDR",$J68&lt;&gt;""),ROUND(IF($E68="Upfront",$F68/IF($G68="",1,$G68),$F68)*IFERROR(VLOOKUP($J68,Team!$B$12:$E$14,3,0),0),2),0))</f>
        <v/>
      </c>
      <c r="M68" s="44">
        <f>IF($F68="","",IF($E68="Upfront",$F68,$F68*IF($G68="",1,$G68)))</f>
        <v/>
      </c>
      <c r="N68" s="41" t="n"/>
    </row>
    <row r="69" ht="16" customHeight="1">
      <c r="A69" s="40" t="n"/>
      <c r="B69" s="40" t="n"/>
      <c r="C69" s="41" t="n"/>
      <c r="D69" s="41" t="n"/>
      <c r="E69" s="40" t="n"/>
      <c r="F69" s="42" t="n"/>
      <c r="G69" s="40" t="n"/>
      <c r="H69" s="43">
        <f>IF($F69="","",ROUND(IF($E69="Upfront",$F69/IF($G69="",1,$G69),$F69),2))</f>
        <v/>
      </c>
      <c r="I69" s="40" t="n"/>
      <c r="J69" s="40" t="n"/>
      <c r="K69" s="14">
        <f>IF($F69="","",ROUND(IF($E69="Upfront",$F69/IF($G69="",1,$G69),$F69)*IFERROR(VLOOKUP($B69,Team!$B$6:$E$8,3,0),0),2))</f>
        <v/>
      </c>
      <c r="L69" s="14">
        <f>IF($F69="","",IF(AND($I69="SDR",$J69&lt;&gt;""),ROUND(IF($E69="Upfront",$F69/IF($G69="",1,$G69),$F69)*IFERROR(VLOOKUP($J69,Team!$B$12:$E$14,3,0),0),2),0))</f>
        <v/>
      </c>
      <c r="M69" s="44">
        <f>IF($F69="","",IF($E69="Upfront",$F69,$F69*IF($G69="",1,$G69)))</f>
        <v/>
      </c>
      <c r="N69" s="41" t="n"/>
    </row>
    <row r="70" ht="16" customHeight="1">
      <c r="A70" s="40" t="n"/>
      <c r="B70" s="40" t="n"/>
      <c r="C70" s="41" t="n"/>
      <c r="D70" s="41" t="n"/>
      <c r="E70" s="40" t="n"/>
      <c r="F70" s="42" t="n"/>
      <c r="G70" s="40" t="n"/>
      <c r="H70" s="43">
        <f>IF($F70="","",ROUND(IF($E70="Upfront",$F70/IF($G70="",1,$G70),$F70),2))</f>
        <v/>
      </c>
      <c r="I70" s="40" t="n"/>
      <c r="J70" s="40" t="n"/>
      <c r="K70" s="14">
        <f>IF($F70="","",ROUND(IF($E70="Upfront",$F70/IF($G70="",1,$G70),$F70)*IFERROR(VLOOKUP($B70,Team!$B$6:$E$8,3,0),0),2))</f>
        <v/>
      </c>
      <c r="L70" s="14">
        <f>IF($F70="","",IF(AND($I70="SDR",$J70&lt;&gt;""),ROUND(IF($E70="Upfront",$F70/IF($G70="",1,$G70),$F70)*IFERROR(VLOOKUP($J70,Team!$B$12:$E$14,3,0),0),2),0))</f>
        <v/>
      </c>
      <c r="M70" s="44">
        <f>IF($F70="","",IF($E70="Upfront",$F70,$F70*IF($G70="",1,$G70)))</f>
        <v/>
      </c>
      <c r="N70" s="41" t="n"/>
    </row>
    <row r="71" ht="16" customHeight="1">
      <c r="A71" s="40" t="n"/>
      <c r="B71" s="40" t="n"/>
      <c r="C71" s="41" t="n"/>
      <c r="D71" s="41" t="n"/>
      <c r="E71" s="40" t="n"/>
      <c r="F71" s="42" t="n"/>
      <c r="G71" s="40" t="n"/>
      <c r="H71" s="43">
        <f>IF($F71="","",ROUND(IF($E71="Upfront",$F71/IF($G71="",1,$G71),$F71),2))</f>
        <v/>
      </c>
      <c r="I71" s="40" t="n"/>
      <c r="J71" s="40" t="n"/>
      <c r="K71" s="14">
        <f>IF($F71="","",ROUND(IF($E71="Upfront",$F71/IF($G71="",1,$G71),$F71)*IFERROR(VLOOKUP($B71,Team!$B$6:$E$8,3,0),0),2))</f>
        <v/>
      </c>
      <c r="L71" s="14">
        <f>IF($F71="","",IF(AND($I71="SDR",$J71&lt;&gt;""),ROUND(IF($E71="Upfront",$F71/IF($G71="",1,$G71),$F71)*IFERROR(VLOOKUP($J71,Team!$B$12:$E$14,3,0),0),2),0))</f>
        <v/>
      </c>
      <c r="M71" s="44">
        <f>IF($F71="","",IF($E71="Upfront",$F71,$F71*IF($G71="",1,$G71)))</f>
        <v/>
      </c>
      <c r="N71" s="41" t="n"/>
    </row>
    <row r="72" ht="16" customHeight="1">
      <c r="A72" s="40" t="n"/>
      <c r="B72" s="40" t="n"/>
      <c r="C72" s="41" t="n"/>
      <c r="D72" s="41" t="n"/>
      <c r="E72" s="40" t="n"/>
      <c r="F72" s="42" t="n"/>
      <c r="G72" s="40" t="n"/>
      <c r="H72" s="43">
        <f>IF($F72="","",ROUND(IF($E72="Upfront",$F72/IF($G72="",1,$G72),$F72),2))</f>
        <v/>
      </c>
      <c r="I72" s="40" t="n"/>
      <c r="J72" s="40" t="n"/>
      <c r="K72" s="14">
        <f>IF($F72="","",ROUND(IF($E72="Upfront",$F72/IF($G72="",1,$G72),$F72)*IFERROR(VLOOKUP($B72,Team!$B$6:$E$8,3,0),0),2))</f>
        <v/>
      </c>
      <c r="L72" s="14">
        <f>IF($F72="","",IF(AND($I72="SDR",$J72&lt;&gt;""),ROUND(IF($E72="Upfront",$F72/IF($G72="",1,$G72),$F72)*IFERROR(VLOOKUP($J72,Team!$B$12:$E$14,3,0),0),2),0))</f>
        <v/>
      </c>
      <c r="M72" s="44">
        <f>IF($F72="","",IF($E72="Upfront",$F72,$F72*IF($G72="",1,$G72)))</f>
        <v/>
      </c>
      <c r="N72" s="41" t="n"/>
    </row>
    <row r="73" ht="16" customHeight="1">
      <c r="A73" s="40" t="n"/>
      <c r="B73" s="40" t="n"/>
      <c r="C73" s="41" t="n"/>
      <c r="D73" s="41" t="n"/>
      <c r="E73" s="40" t="n"/>
      <c r="F73" s="42" t="n"/>
      <c r="G73" s="40" t="n"/>
      <c r="H73" s="43">
        <f>IF($F73="","",ROUND(IF($E73="Upfront",$F73/IF($G73="",1,$G73),$F73),2))</f>
        <v/>
      </c>
      <c r="I73" s="40" t="n"/>
      <c r="J73" s="40" t="n"/>
      <c r="K73" s="14">
        <f>IF($F73="","",ROUND(IF($E73="Upfront",$F73/IF($G73="",1,$G73),$F73)*IFERROR(VLOOKUP($B73,Team!$B$6:$E$8,3,0),0),2))</f>
        <v/>
      </c>
      <c r="L73" s="14">
        <f>IF($F73="","",IF(AND($I73="SDR",$J73&lt;&gt;""),ROUND(IF($E73="Upfront",$F73/IF($G73="",1,$G73),$F73)*IFERROR(VLOOKUP($J73,Team!$B$12:$E$14,3,0),0),2),0))</f>
        <v/>
      </c>
      <c r="M73" s="44">
        <f>IF($F73="","",IF($E73="Upfront",$F73,$F73*IF($G73="",1,$G73)))</f>
        <v/>
      </c>
      <c r="N73" s="41" t="n"/>
    </row>
    <row r="74" ht="16" customHeight="1">
      <c r="A74" s="40" t="n"/>
      <c r="B74" s="40" t="n"/>
      <c r="C74" s="41" t="n"/>
      <c r="D74" s="41" t="n"/>
      <c r="E74" s="40" t="n"/>
      <c r="F74" s="42" t="n"/>
      <c r="G74" s="40" t="n"/>
      <c r="H74" s="43">
        <f>IF($F74="","",ROUND(IF($E74="Upfront",$F74/IF($G74="",1,$G74),$F74),2))</f>
        <v/>
      </c>
      <c r="I74" s="40" t="n"/>
      <c r="J74" s="40" t="n"/>
      <c r="K74" s="14">
        <f>IF($F74="","",ROUND(IF($E74="Upfront",$F74/IF($G74="",1,$G74),$F74)*IFERROR(VLOOKUP($B74,Team!$B$6:$E$8,3,0),0),2))</f>
        <v/>
      </c>
      <c r="L74" s="14">
        <f>IF($F74="","",IF(AND($I74="SDR",$J74&lt;&gt;""),ROUND(IF($E74="Upfront",$F74/IF($G74="",1,$G74),$F74)*IFERROR(VLOOKUP($J74,Team!$B$12:$E$14,3,0),0),2),0))</f>
        <v/>
      </c>
      <c r="M74" s="44">
        <f>IF($F74="","",IF($E74="Upfront",$F74,$F74*IF($G74="",1,$G74)))</f>
        <v/>
      </c>
      <c r="N74" s="41" t="n"/>
    </row>
    <row r="75" ht="16" customHeight="1">
      <c r="A75" s="40" t="n"/>
      <c r="B75" s="40" t="n"/>
      <c r="C75" s="41" t="n"/>
      <c r="D75" s="41" t="n"/>
      <c r="E75" s="40" t="n"/>
      <c r="F75" s="42" t="n"/>
      <c r="G75" s="40" t="n"/>
      <c r="H75" s="43">
        <f>IF($F75="","",ROUND(IF($E75="Upfront",$F75/IF($G75="",1,$G75),$F75),2))</f>
        <v/>
      </c>
      <c r="I75" s="40" t="n"/>
      <c r="J75" s="40" t="n"/>
      <c r="K75" s="14">
        <f>IF($F75="","",ROUND(IF($E75="Upfront",$F75/IF($G75="",1,$G75),$F75)*IFERROR(VLOOKUP($B75,Team!$B$6:$E$8,3,0),0),2))</f>
        <v/>
      </c>
      <c r="L75" s="14">
        <f>IF($F75="","",IF(AND($I75="SDR",$J75&lt;&gt;""),ROUND(IF($E75="Upfront",$F75/IF($G75="",1,$G75),$F75)*IFERROR(VLOOKUP($J75,Team!$B$12:$E$14,3,0),0),2),0))</f>
        <v/>
      </c>
      <c r="M75" s="44">
        <f>IF($F75="","",IF($E75="Upfront",$F75,$F75*IF($G75="",1,$G75)))</f>
        <v/>
      </c>
      <c r="N75" s="41" t="n"/>
    </row>
    <row r="76" ht="16" customHeight="1">
      <c r="A76" s="40" t="n"/>
      <c r="B76" s="40" t="n"/>
      <c r="C76" s="41" t="n"/>
      <c r="D76" s="41" t="n"/>
      <c r="E76" s="40" t="n"/>
      <c r="F76" s="42" t="n"/>
      <c r="G76" s="40" t="n"/>
      <c r="H76" s="43">
        <f>IF($F76="","",ROUND(IF($E76="Upfront",$F76/IF($G76="",1,$G76),$F76),2))</f>
        <v/>
      </c>
      <c r="I76" s="40" t="n"/>
      <c r="J76" s="40" t="n"/>
      <c r="K76" s="14">
        <f>IF($F76="","",ROUND(IF($E76="Upfront",$F76/IF($G76="",1,$G76),$F76)*IFERROR(VLOOKUP($B76,Team!$B$6:$E$8,3,0),0),2))</f>
        <v/>
      </c>
      <c r="L76" s="14">
        <f>IF($F76="","",IF(AND($I76="SDR",$J76&lt;&gt;""),ROUND(IF($E76="Upfront",$F76/IF($G76="",1,$G76),$F76)*IFERROR(VLOOKUP($J76,Team!$B$12:$E$14,3,0),0),2),0))</f>
        <v/>
      </c>
      <c r="M76" s="44">
        <f>IF($F76="","",IF($E76="Upfront",$F76,$F76*IF($G76="",1,$G76)))</f>
        <v/>
      </c>
      <c r="N76" s="41" t="n"/>
    </row>
    <row r="77" ht="16" customHeight="1">
      <c r="A77" s="40" t="n"/>
      <c r="B77" s="40" t="n"/>
      <c r="C77" s="41" t="n"/>
      <c r="D77" s="41" t="n"/>
      <c r="E77" s="40" t="n"/>
      <c r="F77" s="42" t="n"/>
      <c r="G77" s="40" t="n"/>
      <c r="H77" s="43">
        <f>IF($F77="","",ROUND(IF($E77="Upfront",$F77/IF($G77="",1,$G77),$F77),2))</f>
        <v/>
      </c>
      <c r="I77" s="40" t="n"/>
      <c r="J77" s="40" t="n"/>
      <c r="K77" s="14">
        <f>IF($F77="","",ROUND(IF($E77="Upfront",$F77/IF($G77="",1,$G77),$F77)*IFERROR(VLOOKUP($B77,Team!$B$6:$E$8,3,0),0),2))</f>
        <v/>
      </c>
      <c r="L77" s="14">
        <f>IF($F77="","",IF(AND($I77="SDR",$J77&lt;&gt;""),ROUND(IF($E77="Upfront",$F77/IF($G77="",1,$G77),$F77)*IFERROR(VLOOKUP($J77,Team!$B$12:$E$14,3,0),0),2),0))</f>
        <v/>
      </c>
      <c r="M77" s="44">
        <f>IF($F77="","",IF($E77="Upfront",$F77,$F77*IF($G77="",1,$G77)))</f>
        <v/>
      </c>
      <c r="N77" s="41" t="n"/>
    </row>
    <row r="78" ht="16" customHeight="1">
      <c r="A78" s="40" t="n"/>
      <c r="B78" s="40" t="n"/>
      <c r="C78" s="41" t="n"/>
      <c r="D78" s="41" t="n"/>
      <c r="E78" s="40" t="n"/>
      <c r="F78" s="42" t="n"/>
      <c r="G78" s="40" t="n"/>
      <c r="H78" s="43">
        <f>IF($F78="","",ROUND(IF($E78="Upfront",$F78/IF($G78="",1,$G78),$F78),2))</f>
        <v/>
      </c>
      <c r="I78" s="40" t="n"/>
      <c r="J78" s="40" t="n"/>
      <c r="K78" s="14">
        <f>IF($F78="","",ROUND(IF($E78="Upfront",$F78/IF($G78="",1,$G78),$F78)*IFERROR(VLOOKUP($B78,Team!$B$6:$E$8,3,0),0),2))</f>
        <v/>
      </c>
      <c r="L78" s="14">
        <f>IF($F78="","",IF(AND($I78="SDR",$J78&lt;&gt;""),ROUND(IF($E78="Upfront",$F78/IF($G78="",1,$G78),$F78)*IFERROR(VLOOKUP($J78,Team!$B$12:$E$14,3,0),0),2),0))</f>
        <v/>
      </c>
      <c r="M78" s="44">
        <f>IF($F78="","",IF($E78="Upfront",$F78,$F78*IF($G78="",1,$G78)))</f>
        <v/>
      </c>
      <c r="N78" s="41" t="n"/>
    </row>
    <row r="79" ht="16" customHeight="1">
      <c r="A79" s="40" t="n"/>
      <c r="B79" s="40" t="n"/>
      <c r="C79" s="41" t="n"/>
      <c r="D79" s="41" t="n"/>
      <c r="E79" s="40" t="n"/>
      <c r="F79" s="42" t="n"/>
      <c r="G79" s="40" t="n"/>
      <c r="H79" s="43">
        <f>IF($F79="","",ROUND(IF($E79="Upfront",$F79/IF($G79="",1,$G79),$F79),2))</f>
        <v/>
      </c>
      <c r="I79" s="40" t="n"/>
      <c r="J79" s="40" t="n"/>
      <c r="K79" s="14">
        <f>IF($F79="","",ROUND(IF($E79="Upfront",$F79/IF($G79="",1,$G79),$F79)*IFERROR(VLOOKUP($B79,Team!$B$6:$E$8,3,0),0),2))</f>
        <v/>
      </c>
      <c r="L79" s="14">
        <f>IF($F79="","",IF(AND($I79="SDR",$J79&lt;&gt;""),ROUND(IF($E79="Upfront",$F79/IF($G79="",1,$G79),$F79)*IFERROR(VLOOKUP($J79,Team!$B$12:$E$14,3,0),0),2),0))</f>
        <v/>
      </c>
      <c r="M79" s="44">
        <f>IF($F79="","",IF($E79="Upfront",$F79,$F79*IF($G79="",1,$G79)))</f>
        <v/>
      </c>
      <c r="N79" s="41" t="n"/>
    </row>
    <row r="80" ht="16" customHeight="1">
      <c r="A80" s="40" t="n"/>
      <c r="B80" s="40" t="n"/>
      <c r="C80" s="41" t="n"/>
      <c r="D80" s="41" t="n"/>
      <c r="E80" s="40" t="n"/>
      <c r="F80" s="42" t="n"/>
      <c r="G80" s="40" t="n"/>
      <c r="H80" s="43">
        <f>IF($F80="","",ROUND(IF($E80="Upfront",$F80/IF($G80="",1,$G80),$F80),2))</f>
        <v/>
      </c>
      <c r="I80" s="40" t="n"/>
      <c r="J80" s="40" t="n"/>
      <c r="K80" s="14">
        <f>IF($F80="","",ROUND(IF($E80="Upfront",$F80/IF($G80="",1,$G80),$F80)*IFERROR(VLOOKUP($B80,Team!$B$6:$E$8,3,0),0),2))</f>
        <v/>
      </c>
      <c r="L80" s="14">
        <f>IF($F80="","",IF(AND($I80="SDR",$J80&lt;&gt;""),ROUND(IF($E80="Upfront",$F80/IF($G80="",1,$G80),$F80)*IFERROR(VLOOKUP($J80,Team!$B$12:$E$14,3,0),0),2),0))</f>
        <v/>
      </c>
      <c r="M80" s="44">
        <f>IF($F80="","",IF($E80="Upfront",$F80,$F80*IF($G80="",1,$G80)))</f>
        <v/>
      </c>
      <c r="N80" s="41" t="n"/>
    </row>
    <row r="81" ht="16" customHeight="1">
      <c r="A81" s="40" t="n"/>
      <c r="B81" s="40" t="n"/>
      <c r="C81" s="41" t="n"/>
      <c r="D81" s="41" t="n"/>
      <c r="E81" s="40" t="n"/>
      <c r="F81" s="42" t="n"/>
      <c r="G81" s="40" t="n"/>
      <c r="H81" s="43">
        <f>IF($F81="","",ROUND(IF($E81="Upfront",$F81/IF($G81="",1,$G81),$F81),2))</f>
        <v/>
      </c>
      <c r="I81" s="40" t="n"/>
      <c r="J81" s="40" t="n"/>
      <c r="K81" s="14">
        <f>IF($F81="","",ROUND(IF($E81="Upfront",$F81/IF($G81="",1,$G81),$F81)*IFERROR(VLOOKUP($B81,Team!$B$6:$E$8,3,0),0),2))</f>
        <v/>
      </c>
      <c r="L81" s="14">
        <f>IF($F81="","",IF(AND($I81="SDR",$J81&lt;&gt;""),ROUND(IF($E81="Upfront",$F81/IF($G81="",1,$G81),$F81)*IFERROR(VLOOKUP($J81,Team!$B$12:$E$14,3,0),0),2),0))</f>
        <v/>
      </c>
      <c r="M81" s="44">
        <f>IF($F81="","",IF($E81="Upfront",$F81,$F81*IF($G81="",1,$G81)))</f>
        <v/>
      </c>
      <c r="N81" s="41" t="n"/>
    </row>
    <row r="82" ht="16" customHeight="1">
      <c r="A82" s="40" t="n"/>
      <c r="B82" s="40" t="n"/>
      <c r="C82" s="41" t="n"/>
      <c r="D82" s="41" t="n"/>
      <c r="E82" s="40" t="n"/>
      <c r="F82" s="42" t="n"/>
      <c r="G82" s="40" t="n"/>
      <c r="H82" s="43">
        <f>IF($F82="","",ROUND(IF($E82="Upfront",$F82/IF($G82="",1,$G82),$F82),2))</f>
        <v/>
      </c>
      <c r="I82" s="40" t="n"/>
      <c r="J82" s="40" t="n"/>
      <c r="K82" s="14">
        <f>IF($F82="","",ROUND(IF($E82="Upfront",$F82/IF($G82="",1,$G82),$F82)*IFERROR(VLOOKUP($B82,Team!$B$6:$E$8,3,0),0),2))</f>
        <v/>
      </c>
      <c r="L82" s="14">
        <f>IF($F82="","",IF(AND($I82="SDR",$J82&lt;&gt;""),ROUND(IF($E82="Upfront",$F82/IF($G82="",1,$G82),$F82)*IFERROR(VLOOKUP($J82,Team!$B$12:$E$14,3,0),0),2),0))</f>
        <v/>
      </c>
      <c r="M82" s="44">
        <f>IF($F82="","",IF($E82="Upfront",$F82,$F82*IF($G82="",1,$G82)))</f>
        <v/>
      </c>
      <c r="N82" s="41" t="n"/>
    </row>
    <row r="83" ht="16" customHeight="1">
      <c r="A83" s="40" t="n"/>
      <c r="B83" s="40" t="n"/>
      <c r="C83" s="41" t="n"/>
      <c r="D83" s="41" t="n"/>
      <c r="E83" s="40" t="n"/>
      <c r="F83" s="42" t="n"/>
      <c r="G83" s="40" t="n"/>
      <c r="H83" s="43">
        <f>IF($F83="","",ROUND(IF($E83="Upfront",$F83/IF($G83="",1,$G83),$F83),2))</f>
        <v/>
      </c>
      <c r="I83" s="40" t="n"/>
      <c r="J83" s="40" t="n"/>
      <c r="K83" s="14">
        <f>IF($F83="","",ROUND(IF($E83="Upfront",$F83/IF($G83="",1,$G83),$F83)*IFERROR(VLOOKUP($B83,Team!$B$6:$E$8,3,0),0),2))</f>
        <v/>
      </c>
      <c r="L83" s="14">
        <f>IF($F83="","",IF(AND($I83="SDR",$J83&lt;&gt;""),ROUND(IF($E83="Upfront",$F83/IF($G83="",1,$G83),$F83)*IFERROR(VLOOKUP($J83,Team!$B$12:$E$14,3,0),0),2),0))</f>
        <v/>
      </c>
      <c r="M83" s="44">
        <f>IF($F83="","",IF($E83="Upfront",$F83,$F83*IF($G83="",1,$G83)))</f>
        <v/>
      </c>
      <c r="N83" s="41" t="n"/>
    </row>
    <row r="84" ht="16" customHeight="1">
      <c r="A84" s="40" t="n"/>
      <c r="B84" s="40" t="n"/>
      <c r="C84" s="41" t="n"/>
      <c r="D84" s="41" t="n"/>
      <c r="E84" s="40" t="n"/>
      <c r="F84" s="42" t="n"/>
      <c r="G84" s="40" t="n"/>
      <c r="H84" s="43">
        <f>IF($F84="","",ROUND(IF($E84="Upfront",$F84/IF($G84="",1,$G84),$F84),2))</f>
        <v/>
      </c>
      <c r="I84" s="40" t="n"/>
      <c r="J84" s="40" t="n"/>
      <c r="K84" s="14">
        <f>IF($F84="","",ROUND(IF($E84="Upfront",$F84/IF($G84="",1,$G84),$F84)*IFERROR(VLOOKUP($B84,Team!$B$6:$E$8,3,0),0),2))</f>
        <v/>
      </c>
      <c r="L84" s="14">
        <f>IF($F84="","",IF(AND($I84="SDR",$J84&lt;&gt;""),ROUND(IF($E84="Upfront",$F84/IF($G84="",1,$G84),$F84)*IFERROR(VLOOKUP($J84,Team!$B$12:$E$14,3,0),0),2),0))</f>
        <v/>
      </c>
      <c r="M84" s="44">
        <f>IF($F84="","",IF($E84="Upfront",$F84,$F84*IF($G84="",1,$G84)))</f>
        <v/>
      </c>
      <c r="N84" s="41" t="n"/>
    </row>
    <row r="85">
      <c r="A85" s="45" t="inlineStr">
        <is>
          <t>TOTAL (month cash)</t>
        </is>
      </c>
      <c r="B85" s="46" t="n"/>
      <c r="C85" s="46" t="n"/>
      <c r="D85" s="46" t="n"/>
      <c r="E85" s="46" t="n"/>
      <c r="F85" s="47">
        <f>SUM(F5:F84)</f>
        <v/>
      </c>
      <c r="G85" s="46" t="n"/>
      <c r="H85" s="46" t="n"/>
      <c r="I85" s="46" t="n"/>
      <c r="J85" s="46" t="n"/>
      <c r="K85" s="48">
        <f>SUM(K5:K84)</f>
        <v/>
      </c>
      <c r="L85" s="48">
        <f>SUM(L5:L84)</f>
        <v/>
      </c>
      <c r="M85" s="46" t="n"/>
      <c r="N85" s="46" t="n"/>
    </row>
  </sheetData>
  <mergeCells count="3">
    <mergeCell ref="A85:E85"/>
    <mergeCell ref="A2:N2"/>
    <mergeCell ref="A1:N1"/>
  </mergeCells>
  <conditionalFormatting sqref="I5:I84">
    <cfRule type="expression" priority="1" dxfId="0">
      <formula>$I5="SDR"</formula>
    </cfRule>
  </conditionalFormatting>
  <dataValidations count="5">
    <dataValidation sqref="B5:B84" showDropDown="0" showInputMessage="0" showErrorMessage="0" allowBlank="1" type="list">
      <formula1>=REPS</formula1>
    </dataValidation>
    <dataValidation sqref="E5:E84" showDropDown="0" showInputMessage="0" showErrorMessage="0" allowBlank="1" type="list">
      <formula1>"Monthly,Upfront"</formula1>
    </dataValidation>
    <dataValidation sqref="G5:G84" showDropDown="0" showInputMessage="0" showErrorMessage="0" allowBlank="1" type="list">
      <formula1>"1,2,3,4,5,6,7,8,9,10,11,12"</formula1>
    </dataValidation>
    <dataValidation sqref="I5:I84" showDropDown="0" showInputMessage="0" showErrorMessage="0" allowBlank="1" type="list">
      <formula1>"Rep,SDR"</formula1>
    </dataValidation>
    <dataValidation sqref="J5:J84" showDropDown="0" showInputMessage="0" showErrorMessage="0" allowBlank="1" type="list">
      <formula1>=SDRS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2026-07-05T23:50:07Z</dcterms:created>
  <dcterms:modified xmlns:dcterms="http://purl.org/dc/terms/" xmlns:xsi="http://www.w3.org/2001/XMLSchema-instance" xsi:type="dcterms:W3CDTF">2026-07-05T23:50:07Z</dcterms:modified>
</cp:coreProperties>
</file>