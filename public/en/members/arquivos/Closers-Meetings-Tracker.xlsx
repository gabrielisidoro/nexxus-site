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ales HQ" sheetId="2" state="visible" r:id="rId2"/>
    <sheet xmlns:r="http://schemas.openxmlformats.org/officeDocument/2006/relationships" name="Closers Panel" sheetId="3" state="visible" r:id="rId3"/>
    <sheet xmlns:r="http://schemas.openxmlformats.org/officeDocument/2006/relationships" name="Weekly Analysis" sheetId="4" state="visible" r:id="rId4"/>
    <sheet xmlns:r="http://schemas.openxmlformats.org/officeDocument/2006/relationships" name="Team" sheetId="5" state="visible" r:id="rId5"/>
    <sheet xmlns:r="http://schemas.openxmlformats.org/officeDocument/2006/relationships" name="Dai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E6E74"/>
      <sz val="9"/>
    </font>
    <font>
      <name val="Arial"/>
      <b val="1"/>
      <color rgb="00E8430F"/>
      <sz val="10"/>
    </font>
    <font>
      <name val="Arial"/>
      <b val="1"/>
      <color rgb="00E8430F"/>
      <sz val="11"/>
    </font>
    <font>
      <name val="Arial"/>
      <color rgb="002E2E33"/>
      <sz val="10"/>
    </font>
    <font>
      <name val="Arial"/>
      <b val="1"/>
      <color rgb="002E2E33"/>
      <sz val="10"/>
    </font>
    <font>
      <name val="Arial"/>
      <color rgb="006E6E74"/>
      <sz val="8"/>
    </font>
    <font>
      <name val="Arial"/>
      <b val="1"/>
      <color rgb="00FFFFFF"/>
      <sz val="9"/>
    </font>
    <font>
      <name val="Arial"/>
      <color rgb="006E6E74"/>
      <sz val="10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b val="1"/>
      <color rgb="006E6E74"/>
      <sz val="10"/>
    </font>
    <font>
      <name val="Arial"/>
      <b val="1"/>
      <color rgb="002E2E33"/>
      <sz val="7.5"/>
    </font>
    <font>
      <name val="Arial"/>
      <b val="1"/>
      <color rgb="002E2E33"/>
      <sz val="9.5"/>
    </font>
    <font>
      <name val="Arial"/>
      <b val="1"/>
      <color rgb="00FFFFFF"/>
      <sz val="9.5"/>
    </font>
    <font>
      <name val="Arial"/>
      <color rgb="006E6E74"/>
      <sz val="8.5"/>
    </font>
    <font>
      <name val="Arial"/>
      <b val="1"/>
      <color rgb="002E2E33"/>
      <sz val="15"/>
    </font>
    <font>
      <name val="Arial"/>
      <b val="1"/>
      <color rgb="00E8430F"/>
      <sz val="15"/>
    </font>
  </fonts>
  <fills count="9">
    <fill>
      <patternFill/>
    </fill>
    <fill>
      <patternFill patternType="gray125"/>
    </fill>
    <fill>
      <patternFill patternType="solid">
        <fgColor rgb="00FB5A2D"/>
      </patternFill>
    </fill>
    <fill>
      <patternFill patternType="solid">
        <fgColor rgb="00FFE7DA"/>
      </patternFill>
    </fill>
    <fill>
      <patternFill patternType="solid">
        <fgColor rgb="00FFF2CC"/>
      </patternFill>
    </fill>
    <fill>
      <patternFill patternType="solid">
        <fgColor rgb="002E2E33"/>
      </patternFill>
    </fill>
    <fill>
      <patternFill patternType="solid">
        <fgColor rgb="002A2A2C"/>
      </patternFill>
    </fill>
    <fill>
      <patternFill patternType="solid">
        <fgColor rgb="00FFFAF7"/>
      </patternFill>
    </fill>
    <fill>
      <patternFill patternType="solid">
        <fgColor rgb="00FFF1EA"/>
      </patternFill>
    </fill>
  </fills>
  <borders count="8">
    <border>
      <left/>
      <right/>
      <top/>
      <bottom/>
      <diagonal/>
    </border>
    <border>
      <left style="thin">
        <color rgb="00ECEBE8"/>
      </left>
      <right style="thin">
        <color rgb="00ECEBE8"/>
      </right>
      <top style="thin">
        <color rgb="00ECEBE8"/>
      </top>
      <bottom style="thin">
        <color rgb="00ECEBE8"/>
      </bottom>
    </border>
    <border>
      <left style="thin">
        <color rgb="00ECEBE8"/>
      </left>
      <right/>
      <top/>
      <bottom/>
      <diagonal/>
    </border>
    <border>
      <left style="thin">
        <color rgb="00ECEBE8"/>
      </left>
      <right style="thin">
        <color rgb="00ECEBE8"/>
      </right>
      <top/>
      <bottom/>
      <diagonal/>
    </border>
    <border>
      <left style="thin">
        <color rgb="00ECEBE8"/>
      </left>
      <right style="thin">
        <color rgb="00ECEBE8"/>
      </right>
      <top/>
      <bottom style="thin">
        <color rgb="00ECEBE8"/>
      </bottom>
      <diagonal/>
    </border>
    <border>
      <left/>
      <right/>
      <top style="thin">
        <color rgb="00ECEBE8"/>
      </top>
      <bottom/>
      <diagonal/>
    </border>
    <border>
      <left/>
      <right style="thin">
        <color rgb="00ECEBE8"/>
      </right>
      <top style="thin">
        <color rgb="00ECEBE8"/>
      </top>
      <bottom/>
      <diagonal/>
    </border>
    <border>
      <left/>
      <right style="thin">
        <color rgb="00ECEBE8"/>
      </right>
      <top style="thin">
        <color rgb="00ECEBE8"/>
      </top>
      <bottom style="thin">
        <color rgb="00ECEBE8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 indent="1"/>
    </xf>
    <xf numFmtId="1" fontId="17" fillId="0" borderId="1" applyAlignment="1" pivotButton="0" quotePrefix="0" xfId="0">
      <alignment horizontal="center" vertical="center"/>
    </xf>
    <xf numFmtId="0" fontId="0" fillId="0" borderId="1" pivotButton="0" quotePrefix="0" xfId="0"/>
    <xf numFmtId="1" fontId="1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65" fontId="17" fillId="0" borderId="1" applyAlignment="1" pivotButton="0" quotePrefix="0" xfId="0">
      <alignment horizontal="center" vertical="center"/>
    </xf>
    <xf numFmtId="165" fontId="18" fillId="0" borderId="1" applyAlignment="1" pivotButton="0" quotePrefix="0" xfId="0">
      <alignment horizontal="center" vertical="center"/>
    </xf>
    <xf numFmtId="164" fontId="17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 indent="1"/>
    </xf>
    <xf numFmtId="0" fontId="9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 indent="1"/>
    </xf>
    <xf numFmtId="0" fontId="0" fillId="5" borderId="1" pivotButton="0" quotePrefix="0" xfId="0"/>
    <xf numFmtId="1" fontId="4" fillId="8" borderId="1" applyAlignment="1" pivotButton="0" quotePrefix="0" xfId="0">
      <alignment horizontal="center" vertical="center"/>
    </xf>
    <xf numFmtId="9" fontId="10" fillId="4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 wrapText="1"/>
    </xf>
    <xf numFmtId="1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" fontId="10" fillId="4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8" fillId="6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B7E1CD"/>
        </patternFill>
      </fill>
    </dxf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Team funnel: booked → sales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'Sales HQ'!$L$5:$L$8</f>
            </numRef>
          </cat>
          <val>
            <numRef>
              <f>'Sales HQ'!$M$5:$M$8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Sales: on call vs follow-up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'Sales HQ'!$L$10:$L$11</f>
            </numRef>
          </cat>
          <val>
            <numRef>
              <f>'Sales HQ'!$M$10:$M$11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rep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'Sales HQ'!$L$13:$L$15</f>
            </numRef>
          </cat>
          <val>
            <numRef>
              <f>'Sales HQ'!$M$13:$M$15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14287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39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9</row>
      <rowOff>0</rowOff>
    </from>
    <ext cx="32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9</row>
      <rowOff>0</rowOff>
    </from>
    <ext cx="32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Closers Meetings Tracker · Usual Digital</t>
        </is>
      </c>
    </row>
    <row r="2" ht="16" customHeight="1">
      <c r="A2" s="2" t="inlineStr">
        <is>
          <t>The reps' meeting-funnel analysis: no-show, proposals and conversion. One copy per month.</t>
        </is>
      </c>
    </row>
    <row r="3" ht="30" customHeight="1"/>
    <row r="4" ht="20" customHeight="1">
      <c r="A4" s="3" t="inlineStr">
        <is>
          <t>HOW TO USE (30 SECONDS A DAY)</t>
        </is>
      </c>
    </row>
    <row r="6" ht="30" customHeight="1">
      <c r="A6" s="4" t="inlineStr">
        <is>
          <t>1.</t>
        </is>
      </c>
      <c r="B6" s="5" t="inlineStr">
        <is>
          <t>In Google Sheets: File &gt; Make a copy. Duplicate it each month.</t>
        </is>
      </c>
    </row>
    <row r="7" ht="30" customHeight="1">
      <c r="A7" s="4" t="inlineStr">
        <is>
          <t>2.</t>
        </is>
      </c>
      <c r="B7" s="5" t="inlineStr">
        <is>
          <t>DAILY tab: at the end of the day, each rep fills in ONLY 6 numbers on the day's row: booked, held, no-show, proposals, sales on the call and sales on follow-up. No client names, no text.</t>
        </is>
      </c>
    </row>
    <row r="8" ht="30" customHeight="1">
      <c r="A8" s="4" t="inlineStr">
        <is>
          <t>3.</t>
        </is>
      </c>
      <c r="B8" s="5" t="inlineStr">
        <is>
          <t>The week calculates on its own. Panels, weekly analysis and Sales HQ update instantly.</t>
        </is>
      </c>
    </row>
    <row r="9" ht="30" customHeight="1">
      <c r="A9" s="4" t="inlineStr">
        <is>
          <t>4.</t>
        </is>
      </c>
      <c r="B9" s="5" t="inlineStr">
        <is>
          <t>CLOSERS PANEL: each rep compared to the benchmark. A RED cell = that's what to coach this week.</t>
        </is>
      </c>
    </row>
    <row r="10" ht="30" customHeight="1">
      <c r="A10" s="4" t="inlineStr">
        <is>
          <t>5.</t>
        </is>
      </c>
      <c r="B10" s="5" t="inlineStr">
        <is>
          <t>SALES HQ: the whole team's funnel, month rates and charts.</t>
        </is>
      </c>
    </row>
    <row r="11" ht="30" customHeight="1">
      <c r="A11" s="4" t="inlineStr">
        <is>
          <t>6.</t>
        </is>
      </c>
      <c r="B11" s="5" t="inlineStr">
        <is>
          <t>The benchmarks (rate targets) are editable in yellow on the Closers Panel.</t>
        </is>
      </c>
    </row>
    <row r="13" ht="20" customHeight="1">
      <c r="A13" s="3" t="inlineStr">
        <is>
          <t>DEFINITIONS</t>
        </is>
      </c>
    </row>
    <row r="15" ht="24" customHeight="1">
      <c r="A15" s="6" t="inlineStr">
        <is>
          <t>Booked</t>
        </is>
      </c>
      <c r="C15" s="5" t="inlineStr">
        <is>
          <t>Meetings scheduled FOR that day (on the day's calendar).</t>
        </is>
      </c>
    </row>
    <row r="16" ht="24" customHeight="1">
      <c r="A16" s="6" t="inlineStr">
        <is>
          <t>Held</t>
        </is>
      </c>
      <c r="C16" s="5" t="inlineStr">
        <is>
          <t>How many actually happened.</t>
        </is>
      </c>
    </row>
    <row r="17" ht="24" customHeight="1">
      <c r="A17" s="6" t="inlineStr">
        <is>
          <t>No-show</t>
        </is>
      </c>
      <c r="C17" s="5" t="inlineStr">
        <is>
          <t>Customer didn't show (held + no-show should match booked; a reschedule doesn't count).</t>
        </is>
      </c>
    </row>
    <row r="18" ht="24" customHeight="1">
      <c r="A18" s="6" t="inlineStr">
        <is>
          <t>Proposals</t>
        </is>
      </c>
      <c r="C18" s="5" t="inlineStr">
        <is>
          <t>Meetings where a proposal was presented.</t>
        </is>
      </c>
    </row>
    <row r="19" ht="24" customHeight="1">
      <c r="A19" s="6" t="inlineStr">
        <is>
          <t>Sale on the call</t>
        </is>
      </c>
      <c r="C19" s="5" t="inlineStr">
        <is>
          <t>Closed in the meeting itself.</t>
        </is>
      </c>
    </row>
    <row r="20" ht="24" customHeight="1">
      <c r="A20" s="6" t="inlineStr">
        <is>
          <t>Sale on follow-up</t>
        </is>
      </c>
      <c r="C20" s="5" t="inlineStr">
        <is>
          <t>A customer from a previous meeting who closed later (counts on the day they closed).</t>
        </is>
      </c>
    </row>
    <row r="22">
      <c r="A22" s="7" t="inlineStr">
        <is>
          <t>Usual Digital · Internal sales control</t>
        </is>
      </c>
    </row>
  </sheetData>
  <mergeCells count="23">
    <mergeCell ref="C16:H16"/>
    <mergeCell ref="A15:B15"/>
    <mergeCell ref="B9:H9"/>
    <mergeCell ref="B6:H6"/>
    <mergeCell ref="A1:H1"/>
    <mergeCell ref="A16:B16"/>
    <mergeCell ref="B7:H7"/>
    <mergeCell ref="C17:H17"/>
    <mergeCell ref="A18:B18"/>
    <mergeCell ref="C19:H19"/>
    <mergeCell ref="A2:H2"/>
    <mergeCell ref="C18:H18"/>
    <mergeCell ref="B11:H11"/>
    <mergeCell ref="A17:B17"/>
    <mergeCell ref="A22:H22"/>
    <mergeCell ref="C15:H15"/>
    <mergeCell ref="A4:H4"/>
    <mergeCell ref="B8:H8"/>
    <mergeCell ref="A20:B20"/>
    <mergeCell ref="A19:B19"/>
    <mergeCell ref="A13:H13"/>
    <mergeCell ref="B10:H10"/>
    <mergeCell ref="C20:H2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3" customWidth="1" min="12" max="12"/>
    <col width="10" customWidth="1" min="13" max="13"/>
  </cols>
  <sheetData>
    <row r="1" ht="30" customHeight="1">
      <c r="A1" s="1" t="inlineStr">
        <is>
          <t>Sales HQ · everyone together</t>
        </is>
      </c>
    </row>
    <row r="2" ht="16" customHeight="1">
      <c r="A2" s="2" t="inlineStr">
        <is>
          <t>The whole team's meeting funnel for the month, with rates, benchmarks and charts.</t>
        </is>
      </c>
    </row>
    <row r="4" ht="20" customHeight="1">
      <c r="A4" s="3" t="inlineStr">
        <is>
          <t>MONTH VOLUME (TEAM)</t>
        </is>
      </c>
      <c r="L4" s="8" t="inlineStr">
        <is>
          <t>helper</t>
        </is>
      </c>
    </row>
    <row r="5" ht="26" customHeight="1">
      <c r="A5" s="9">
        <f>Daily!$C$37+Daily!$I$37+Daily!$O$37</f>
        <v/>
      </c>
      <c r="B5" s="10" t="n"/>
      <c r="C5" s="11">
        <f>Daily!$D$37+Daily!$J$37+Daily!$P$37</f>
        <v/>
      </c>
      <c r="D5" s="10" t="n"/>
      <c r="E5" s="9">
        <f>Daily!$E$37+Daily!$K$37+Daily!$Q$37</f>
        <v/>
      </c>
      <c r="F5" s="10" t="n"/>
      <c r="G5" s="9">
        <f>Daily!$F$37+Daily!$L$37+Daily!$R$37</f>
        <v/>
      </c>
      <c r="H5" s="10" t="n"/>
      <c r="I5" s="11">
        <f>(Daily!$G$37+Daily!$M$37+Daily!$S$37)+(Daily!$H$37+Daily!$N$37+Daily!$T$37)</f>
        <v/>
      </c>
      <c r="J5" s="10" t="n"/>
      <c r="L5" t="inlineStr">
        <is>
          <t>Booked</t>
        </is>
      </c>
      <c r="M5">
        <f>Daily!$C$37+Daily!$I$37+Daily!$O$37</f>
        <v/>
      </c>
    </row>
    <row r="6" ht="16" customHeight="1">
      <c r="A6" s="12" t="inlineStr">
        <is>
          <t>Meetings booked</t>
        </is>
      </c>
      <c r="B6" s="10" t="n"/>
      <c r="C6" s="12" t="inlineStr">
        <is>
          <t>Meetings held</t>
        </is>
      </c>
      <c r="D6" s="10" t="n"/>
      <c r="E6" s="12" t="inlineStr">
        <is>
          <t>No-shows</t>
        </is>
      </c>
      <c r="F6" s="10" t="n"/>
      <c r="G6" s="12" t="inlineStr">
        <is>
          <t>Proposals presented</t>
        </is>
      </c>
      <c r="H6" s="10" t="n"/>
      <c r="I6" s="12" t="inlineStr">
        <is>
          <t>TOTAL SALES</t>
        </is>
      </c>
      <c r="J6" s="10" t="n"/>
      <c r="L6" t="inlineStr">
        <is>
          <t>Held</t>
        </is>
      </c>
      <c r="M6">
        <f>Daily!$D$37+Daily!$J$37+Daily!$P$37</f>
        <v/>
      </c>
    </row>
    <row r="7" ht="26" customHeight="1">
      <c r="A7" s="13">
        <f>IFERROR((Daily!$D$37+Daily!$J$37+Daily!$P$37)/MAX(Daily!$C$37+Daily!$I$37+Daily!$O$37,1),0)</f>
        <v/>
      </c>
      <c r="B7" s="10" t="n"/>
      <c r="C7" s="13">
        <f>IFERROR((Daily!$E$37+Daily!$K$37+Daily!$Q$37)/MAX(Daily!$C$37+Daily!$I$37+Daily!$O$37,1),0)</f>
        <v/>
      </c>
      <c r="D7" s="10" t="n"/>
      <c r="E7" s="14">
        <f>IFERROR(((Daily!$G$37+Daily!$M$37+Daily!$S$37)+(Daily!$H$37+Daily!$N$37+Daily!$T$37))/MAX(Daily!$D$37+Daily!$J$37+Daily!$P$37,1),0)</f>
        <v/>
      </c>
      <c r="F7" s="10" t="n"/>
      <c r="G7" s="14">
        <f>IFERROR(((Daily!$G$37+Daily!$M$37+Daily!$S$37)+(Daily!$H$37+Daily!$N$37+Daily!$T$37))/MAX(Daily!$F$37+Daily!$L$37+Daily!$R$37,1),0)</f>
        <v/>
      </c>
      <c r="H7" s="10" t="n"/>
      <c r="I7" s="15">
        <f>IFERROR(ROUND((Daily!$D$37+Daily!$J$37+Daily!$P$37)/MAX(SUMPRODUCT(--((Daily!$C$6:$C$36+Daily!$I$6:$I$36+Daily!$O$6:$O$36)&gt;0)),1),1),0)</f>
        <v/>
      </c>
      <c r="J7" s="10" t="n"/>
      <c r="L7" t="inlineStr">
        <is>
          <t>Proposals</t>
        </is>
      </c>
      <c r="M7">
        <f>Daily!$F$37+Daily!$L$37+Daily!$R$37</f>
        <v/>
      </c>
    </row>
    <row r="8" ht="16" customHeight="1">
      <c r="A8" s="12" t="inlineStr">
        <is>
          <t>Show rate</t>
        </is>
      </c>
      <c r="B8" s="10" t="n"/>
      <c r="C8" s="12" t="inlineStr">
        <is>
          <t>No-show rate</t>
        </is>
      </c>
      <c r="D8" s="10" t="n"/>
      <c r="E8" s="12" t="inlineStr">
        <is>
          <t>Conv. meeting → sale</t>
        </is>
      </c>
      <c r="F8" s="10" t="n"/>
      <c r="G8" s="12" t="inlineStr">
        <is>
          <t>Conv. proposal → sale</t>
        </is>
      </c>
      <c r="H8" s="10" t="n"/>
      <c r="I8" s="12" t="inlineStr">
        <is>
          <t>Avg meetings/active day</t>
        </is>
      </c>
      <c r="J8" s="10" t="n"/>
      <c r="L8" t="inlineStr">
        <is>
          <t>Sales</t>
        </is>
      </c>
      <c r="M8">
        <f>(Daily!$G$37+Daily!$M$37+Daily!$S$37)+(Daily!$H$37+Daily!$N$37+Daily!$T$37)</f>
        <v/>
      </c>
    </row>
    <row r="9" ht="20" customHeight="1">
      <c r="A9" s="3" t="inlineStr">
        <is>
          <t>CHARTS</t>
        </is>
      </c>
    </row>
    <row r="10">
      <c r="L10" t="inlineStr">
        <is>
          <t>On call</t>
        </is>
      </c>
      <c r="M10">
        <f>Daily!$G$37+Daily!$M$37+Daily!$S$37</f>
        <v/>
      </c>
    </row>
    <row r="11">
      <c r="L11" t="inlineStr">
        <is>
          <t>On follow-up</t>
        </is>
      </c>
      <c r="M11">
        <f>Daily!$H$37+Daily!$N$37+Daily!$T$37</f>
        <v/>
      </c>
    </row>
    <row r="13">
      <c r="L13">
        <f>Team!$B$6</f>
        <v/>
      </c>
      <c r="M13">
        <f>Daily!$G$37+Daily!$H$37</f>
        <v/>
      </c>
    </row>
    <row r="14">
      <c r="L14">
        <f>Team!$B$7</f>
        <v/>
      </c>
      <c r="M14">
        <f>Daily!$M$37+Daily!$N$37</f>
        <v/>
      </c>
    </row>
    <row r="15">
      <c r="L15">
        <f>Team!$B$8</f>
        <v/>
      </c>
      <c r="M15">
        <f>Daily!$S$37+Daily!$T$37</f>
        <v/>
      </c>
    </row>
  </sheetData>
  <mergeCells count="24">
    <mergeCell ref="C6:D6"/>
    <mergeCell ref="I6:J6"/>
    <mergeCell ref="C5:D5"/>
    <mergeCell ref="E5:F5"/>
    <mergeCell ref="A4:J4"/>
    <mergeCell ref="G8:H8"/>
    <mergeCell ref="E8:F8"/>
    <mergeCell ref="A6:B6"/>
    <mergeCell ref="A7:B7"/>
    <mergeCell ref="G7:H7"/>
    <mergeCell ref="I7:J7"/>
    <mergeCell ref="A9:J9"/>
    <mergeCell ref="G6:H6"/>
    <mergeCell ref="A1:J1"/>
    <mergeCell ref="E6:F6"/>
    <mergeCell ref="A5:B5"/>
    <mergeCell ref="G5:H5"/>
    <mergeCell ref="I5:J5"/>
    <mergeCell ref="I8:J8"/>
    <mergeCell ref="A8:B8"/>
    <mergeCell ref="C8:D8"/>
    <mergeCell ref="C7:D7"/>
    <mergeCell ref="E7:F7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3" customWidth="1" min="3" max="3"/>
    <col width="13" customWidth="1" min="4" max="4"/>
    <col width="13" customWidth="1" min="5" max="5"/>
  </cols>
  <sheetData>
    <row r="1" ht="30" customHeight="1">
      <c r="A1" s="1" t="inlineStr">
        <is>
          <t>Panel · Closers (month)</t>
        </is>
      </c>
    </row>
    <row r="2" ht="16" customHeight="1">
      <c r="A2" s="2" t="inlineStr">
        <is>
          <t>Each rep compared to the benchmark (yellow, editable). A red cell = the week's coaching point.</t>
        </is>
      </c>
    </row>
    <row r="4" ht="20" customHeight="1">
      <c r="A4" s="3" t="inlineStr">
        <is>
          <t>MONTH VOLUME</t>
        </is>
      </c>
    </row>
    <row r="5">
      <c r="A5" s="16" t="inlineStr">
        <is>
          <t>Indicator</t>
        </is>
      </c>
      <c r="B5" s="17" t="inlineStr">
        <is>
          <t>Benchmark</t>
        </is>
      </c>
      <c r="C5" s="17">
        <f>Team!$B$6</f>
        <v/>
      </c>
      <c r="D5" s="17">
        <f>Team!$B$7</f>
        <v/>
      </c>
      <c r="E5" s="17">
        <f>Team!$B$8</f>
        <v/>
      </c>
    </row>
    <row r="6" ht="18" customHeight="1">
      <c r="A6" s="18" t="inlineStr">
        <is>
          <t>Meetings booked</t>
        </is>
      </c>
      <c r="B6" s="19" t="inlineStr">
        <is>
          <t>—</t>
        </is>
      </c>
      <c r="C6" s="20">
        <f>Daily!$C$37</f>
        <v/>
      </c>
      <c r="D6" s="20">
        <f>Daily!$I$37</f>
        <v/>
      </c>
      <c r="E6" s="20">
        <f>Daily!$O$37</f>
        <v/>
      </c>
    </row>
    <row r="7" ht="18" customHeight="1">
      <c r="A7" s="18" t="inlineStr">
        <is>
          <t>Meetings held</t>
        </is>
      </c>
      <c r="B7" s="19" t="inlineStr">
        <is>
          <t>—</t>
        </is>
      </c>
      <c r="C7" s="20">
        <f>Daily!$D$37</f>
        <v/>
      </c>
      <c r="D7" s="20">
        <f>Daily!$J$37</f>
        <v/>
      </c>
      <c r="E7" s="20">
        <f>Daily!$P$37</f>
        <v/>
      </c>
    </row>
    <row r="8" ht="18" customHeight="1">
      <c r="A8" s="18" t="inlineStr">
        <is>
          <t>No-shows</t>
        </is>
      </c>
      <c r="B8" s="19" t="inlineStr">
        <is>
          <t>—</t>
        </is>
      </c>
      <c r="C8" s="20">
        <f>Daily!$E$37</f>
        <v/>
      </c>
      <c r="D8" s="20">
        <f>Daily!$K$37</f>
        <v/>
      </c>
      <c r="E8" s="20">
        <f>Daily!$Q$37</f>
        <v/>
      </c>
    </row>
    <row r="9" ht="18" customHeight="1">
      <c r="A9" s="18" t="inlineStr">
        <is>
          <t>Proposals presented</t>
        </is>
      </c>
      <c r="B9" s="19" t="inlineStr">
        <is>
          <t>—</t>
        </is>
      </c>
      <c r="C9" s="20">
        <f>Daily!$F$37</f>
        <v/>
      </c>
      <c r="D9" s="20">
        <f>Daily!$L$37</f>
        <v/>
      </c>
      <c r="E9" s="20">
        <f>Daily!$R$37</f>
        <v/>
      </c>
    </row>
    <row r="10" ht="18" customHeight="1">
      <c r="A10" s="18" t="inlineStr">
        <is>
          <t>Sales on the call</t>
        </is>
      </c>
      <c r="B10" s="19" t="inlineStr">
        <is>
          <t>—</t>
        </is>
      </c>
      <c r="C10" s="20">
        <f>Daily!$G$37</f>
        <v/>
      </c>
      <c r="D10" s="20">
        <f>Daily!$M$37</f>
        <v/>
      </c>
      <c r="E10" s="20">
        <f>Daily!$S$37</f>
        <v/>
      </c>
    </row>
    <row r="11" ht="18" customHeight="1">
      <c r="A11" s="18" t="inlineStr">
        <is>
          <t>Sales on follow-up</t>
        </is>
      </c>
      <c r="B11" s="19" t="inlineStr">
        <is>
          <t>—</t>
        </is>
      </c>
      <c r="C11" s="20">
        <f>Daily!$H$37</f>
        <v/>
      </c>
      <c r="D11" s="20">
        <f>Daily!$N$37</f>
        <v/>
      </c>
      <c r="E11" s="20">
        <f>Daily!$T$37</f>
        <v/>
      </c>
    </row>
    <row r="12" ht="20" customHeight="1">
      <c r="A12" s="21" t="inlineStr">
        <is>
          <t>TOTAL SALES</t>
        </is>
      </c>
      <c r="B12" s="22" t="n"/>
      <c r="C12" s="23">
        <f>Daily!$G$37+Daily!$H$37</f>
        <v/>
      </c>
      <c r="D12" s="23">
        <f>Daily!$M$37+Daily!$N$37</f>
        <v/>
      </c>
      <c r="E12" s="23">
        <f>Daily!$S$37+Daily!$T$37</f>
        <v/>
      </c>
    </row>
    <row r="14" ht="20" customHeight="1">
      <c r="A14" s="3" t="inlineStr">
        <is>
          <t>FUNNEL RATES (GREEN = ON PAR · RED = COACH)</t>
        </is>
      </c>
    </row>
    <row r="15">
      <c r="A15" s="16" t="inlineStr">
        <is>
          <t>Rate</t>
        </is>
      </c>
      <c r="B15" s="17" t="inlineStr">
        <is>
          <t>Benchmark</t>
        </is>
      </c>
      <c r="C15" s="17">
        <f>Team!$B$6</f>
        <v/>
      </c>
      <c r="D15" s="17">
        <f>Team!$B$7</f>
        <v/>
      </c>
      <c r="E15" s="17">
        <f>Team!$B$8</f>
        <v/>
      </c>
    </row>
    <row r="16" ht="20" customHeight="1">
      <c r="A16" s="18" t="inlineStr">
        <is>
          <t>Show rate (held ÷ booked)</t>
        </is>
      </c>
      <c r="B16" s="24" t="n">
        <v>0.7</v>
      </c>
      <c r="C16" s="25">
        <f>IFERROR(Daily!$D$37/MAX(Daily!$C$37,1),0)</f>
        <v/>
      </c>
      <c r="D16" s="25">
        <f>IFERROR(Daily!$J$37/MAX(Daily!$I$37,1),0)</f>
        <v/>
      </c>
      <c r="E16" s="25">
        <f>IFERROR(Daily!$P$37/MAX(Daily!$O$37,1),0)</f>
        <v/>
      </c>
    </row>
    <row r="17" ht="20" customHeight="1">
      <c r="A17" s="18" t="inlineStr">
        <is>
          <t>No-show rate</t>
        </is>
      </c>
      <c r="B17" s="24" t="n">
        <v>0.3</v>
      </c>
      <c r="C17" s="25">
        <f>IFERROR(Daily!$E$37/MAX(Daily!$C$37,1),0)</f>
        <v/>
      </c>
      <c r="D17" s="25">
        <f>IFERROR(Daily!$K$37/MAX(Daily!$I$37,1),0)</f>
        <v/>
      </c>
      <c r="E17" s="25">
        <f>IFERROR(Daily!$Q$37/MAX(Daily!$O$37,1),0)</f>
        <v/>
      </c>
    </row>
    <row r="18" ht="20" customHeight="1">
      <c r="A18" s="18" t="inlineStr">
        <is>
          <t>Proposals ÷ meetings held</t>
        </is>
      </c>
      <c r="B18" s="24" t="n">
        <v>0.6</v>
      </c>
      <c r="C18" s="25">
        <f>IFERROR(Daily!$F$37/MAX(Daily!$D$37,1),0)</f>
        <v/>
      </c>
      <c r="D18" s="25">
        <f>IFERROR(Daily!$L$37/MAX(Daily!$J$37,1),0)</f>
        <v/>
      </c>
      <c r="E18" s="25">
        <f>IFERROR(Daily!$R$37/MAX(Daily!$P$37,1),0)</f>
        <v/>
      </c>
    </row>
    <row r="19" ht="20" customHeight="1">
      <c r="A19" s="18" t="inlineStr">
        <is>
          <t>Proposal → sale conversion (FOCUS)</t>
        </is>
      </c>
      <c r="B19" s="24" t="n">
        <v>0.3</v>
      </c>
      <c r="C19" s="25">
        <f>IFERROR((Daily!$G$37+Daily!$H$37)/MAX(Daily!$F$37,1),0)</f>
        <v/>
      </c>
      <c r="D19" s="25">
        <f>IFERROR((Daily!$M$37+Daily!$N$37)/MAX(Daily!$L$37,1),0)</f>
        <v/>
      </c>
      <c r="E19" s="25">
        <f>IFERROR((Daily!$S$37+Daily!$T$37)/MAX(Daily!$R$37,1),0)</f>
        <v/>
      </c>
    </row>
    <row r="20" ht="20" customHeight="1">
      <c r="A20" s="18" t="inlineStr">
        <is>
          <t>Meeting → sale conversion</t>
        </is>
      </c>
      <c r="B20" s="24" t="n">
        <v>0.2</v>
      </c>
      <c r="C20" s="25">
        <f>IFERROR((Daily!$G$37+Daily!$H$37)/MAX(Daily!$D$37,1),0)</f>
        <v/>
      </c>
      <c r="D20" s="25">
        <f>IFERROR((Daily!$M$37+Daily!$N$37)/MAX(Daily!$J$37,1),0)</f>
        <v/>
      </c>
      <c r="E20" s="25">
        <f>IFERROR((Daily!$S$37+Daily!$T$37)/MAX(Daily!$P$37,1),0)</f>
        <v/>
      </c>
    </row>
    <row r="21" ht="20" customHeight="1">
      <c r="A21" s="18" t="inlineStr">
        <is>
          <t>% of sales from follow-up</t>
        </is>
      </c>
      <c r="B21" s="24" t="n">
        <v>0.3</v>
      </c>
      <c r="C21" s="25">
        <f>IFERROR(Daily!$H$37/MAX(Daily!$G$37+Daily!$H$37,1),0)</f>
        <v/>
      </c>
      <c r="D21" s="25">
        <f>IFERROR(Daily!$N$37/MAX(Daily!$M$37+Daily!$N$37,1),0)</f>
        <v/>
      </c>
      <c r="E21" s="25">
        <f>IFERROR(Daily!$T$37/MAX(Daily!$S$37+Daily!$T$37,1),0)</f>
        <v/>
      </c>
    </row>
    <row r="23" ht="20" customHeight="1">
      <c r="A23" s="3" t="inlineStr">
        <is>
          <t>MONTH SALES TARGET</t>
        </is>
      </c>
    </row>
    <row r="24">
      <c r="A24" s="18" t="inlineStr">
        <is>
          <t>Sales target</t>
        </is>
      </c>
      <c r="B24" s="19" t="inlineStr">
        <is>
          <t>—</t>
        </is>
      </c>
      <c r="C24" s="20">
        <f>Team!$D$6</f>
        <v/>
      </c>
      <c r="D24" s="20">
        <f>Team!$D$7</f>
        <v/>
      </c>
      <c r="E24" s="20">
        <f>Team!$D$8</f>
        <v/>
      </c>
    </row>
    <row r="25" ht="20" customHeight="1">
      <c r="A25" s="18" t="inlineStr">
        <is>
          <t>% of target</t>
        </is>
      </c>
      <c r="B25" s="19" t="inlineStr">
        <is>
          <t>—</t>
        </is>
      </c>
      <c r="C25" s="26">
        <f>IFERROR((Daily!$G$37+Daily!$H$37)/MAX(Team!$D$6,1),0)</f>
        <v/>
      </c>
      <c r="D25" s="26">
        <f>IFERROR((Daily!$M$37+Daily!$N$37)/MAX(Team!$D$7,1),0)</f>
        <v/>
      </c>
      <c r="E25" s="26">
        <f>IFERROR((Daily!$S$37+Daily!$T$37)/MAX(Team!$D$8,1),0)</f>
        <v/>
      </c>
    </row>
  </sheetData>
  <mergeCells count="5">
    <mergeCell ref="A4:E4"/>
    <mergeCell ref="A2:E2"/>
    <mergeCell ref="A1:E1"/>
    <mergeCell ref="A23:E23"/>
    <mergeCell ref="A14:E14"/>
  </mergeCells>
  <conditionalFormatting sqref="C16">
    <cfRule type="expression" priority="1" dxfId="0">
      <formula>AND(C16&gt;=$B16,Daily!$C$37&gt;0)</formula>
    </cfRule>
    <cfRule type="expression" priority="2" dxfId="1">
      <formula>AND(NOT(C16&gt;=$B16),Daily!$C$37&gt;0)</formula>
    </cfRule>
  </conditionalFormatting>
  <conditionalFormatting sqref="D16">
    <cfRule type="expression" priority="3" dxfId="0">
      <formula>AND(D16&gt;=$B16,Daily!$I$37&gt;0)</formula>
    </cfRule>
    <cfRule type="expression" priority="4" dxfId="1">
      <formula>AND(NOT(D16&gt;=$B16),Daily!$I$37&gt;0)</formula>
    </cfRule>
  </conditionalFormatting>
  <conditionalFormatting sqref="E16">
    <cfRule type="expression" priority="5" dxfId="0">
      <formula>AND(E16&gt;=$B16,Daily!$O$37&gt;0)</formula>
    </cfRule>
    <cfRule type="expression" priority="6" dxfId="1">
      <formula>AND(NOT(E16&gt;=$B16),Daily!$O$37&gt;0)</formula>
    </cfRule>
  </conditionalFormatting>
  <conditionalFormatting sqref="C17">
    <cfRule type="expression" priority="7" dxfId="0">
      <formula>AND(C17&lt;=$B17,Daily!$C$37&gt;0)</formula>
    </cfRule>
    <cfRule type="expression" priority="8" dxfId="1">
      <formula>AND(NOT(C17&lt;=$B17),Daily!$C$37&gt;0)</formula>
    </cfRule>
  </conditionalFormatting>
  <conditionalFormatting sqref="D17">
    <cfRule type="expression" priority="9" dxfId="0">
      <formula>AND(D17&lt;=$B17,Daily!$I$37&gt;0)</formula>
    </cfRule>
    <cfRule type="expression" priority="10" dxfId="1">
      <formula>AND(NOT(D17&lt;=$B17),Daily!$I$37&gt;0)</formula>
    </cfRule>
  </conditionalFormatting>
  <conditionalFormatting sqref="E17">
    <cfRule type="expression" priority="11" dxfId="0">
      <formula>AND(E17&lt;=$B17,Daily!$O$37&gt;0)</formula>
    </cfRule>
    <cfRule type="expression" priority="12" dxfId="1">
      <formula>AND(NOT(E17&lt;=$B17),Daily!$O$37&gt;0)</formula>
    </cfRule>
  </conditionalFormatting>
  <conditionalFormatting sqref="C18">
    <cfRule type="expression" priority="13" dxfId="0">
      <formula>AND(C18&gt;=$B18,Daily!$C$37&gt;0)</formula>
    </cfRule>
    <cfRule type="expression" priority="14" dxfId="1">
      <formula>AND(NOT(C18&gt;=$B18),Daily!$C$37&gt;0)</formula>
    </cfRule>
  </conditionalFormatting>
  <conditionalFormatting sqref="D18">
    <cfRule type="expression" priority="15" dxfId="0">
      <formula>AND(D18&gt;=$B18,Daily!$I$37&gt;0)</formula>
    </cfRule>
    <cfRule type="expression" priority="16" dxfId="1">
      <formula>AND(NOT(D18&gt;=$B18),Daily!$I$37&gt;0)</formula>
    </cfRule>
  </conditionalFormatting>
  <conditionalFormatting sqref="E18">
    <cfRule type="expression" priority="17" dxfId="0">
      <formula>AND(E18&gt;=$B18,Daily!$O$37&gt;0)</formula>
    </cfRule>
    <cfRule type="expression" priority="18" dxfId="1">
      <formula>AND(NOT(E18&gt;=$B18),Daily!$O$37&gt;0)</formula>
    </cfRule>
  </conditionalFormatting>
  <conditionalFormatting sqref="C19">
    <cfRule type="expression" priority="19" dxfId="0">
      <formula>AND(C19&gt;=$B19,Daily!$C$37&gt;0)</formula>
    </cfRule>
    <cfRule type="expression" priority="20" dxfId="1">
      <formula>AND(NOT(C19&gt;=$B19),Daily!$C$37&gt;0)</formula>
    </cfRule>
  </conditionalFormatting>
  <conditionalFormatting sqref="D19">
    <cfRule type="expression" priority="21" dxfId="0">
      <formula>AND(D19&gt;=$B19,Daily!$I$37&gt;0)</formula>
    </cfRule>
    <cfRule type="expression" priority="22" dxfId="1">
      <formula>AND(NOT(D19&gt;=$B19),Daily!$I$37&gt;0)</formula>
    </cfRule>
  </conditionalFormatting>
  <conditionalFormatting sqref="E19">
    <cfRule type="expression" priority="23" dxfId="0">
      <formula>AND(E19&gt;=$B19,Daily!$O$37&gt;0)</formula>
    </cfRule>
    <cfRule type="expression" priority="24" dxfId="1">
      <formula>AND(NOT(E19&gt;=$B19),Daily!$O$37&gt;0)</formula>
    </cfRule>
  </conditionalFormatting>
  <conditionalFormatting sqref="C20">
    <cfRule type="expression" priority="25" dxfId="0">
      <formula>AND(C20&gt;=$B20,Daily!$C$37&gt;0)</formula>
    </cfRule>
    <cfRule type="expression" priority="26" dxfId="1">
      <formula>AND(NOT(C20&gt;=$B20),Daily!$C$37&gt;0)</formula>
    </cfRule>
  </conditionalFormatting>
  <conditionalFormatting sqref="D20">
    <cfRule type="expression" priority="27" dxfId="0">
      <formula>AND(D20&gt;=$B20,Daily!$I$37&gt;0)</formula>
    </cfRule>
    <cfRule type="expression" priority="28" dxfId="1">
      <formula>AND(NOT(D20&gt;=$B20),Daily!$I$37&gt;0)</formula>
    </cfRule>
  </conditionalFormatting>
  <conditionalFormatting sqref="E20">
    <cfRule type="expression" priority="29" dxfId="0">
      <formula>AND(E20&gt;=$B20,Daily!$O$37&gt;0)</formula>
    </cfRule>
    <cfRule type="expression" priority="30" dxfId="1">
      <formula>AND(NOT(E20&gt;=$B20),Daily!$O$37&gt;0)</formula>
    </cfRule>
  </conditionalFormatting>
  <conditionalFormatting sqref="C21">
    <cfRule type="expression" priority="31" dxfId="0">
      <formula>AND(C21&gt;=$B21,Daily!$C$37&gt;0)</formula>
    </cfRule>
    <cfRule type="expression" priority="32" dxfId="1">
      <formula>AND(NOT(C21&gt;=$B21),Daily!$C$37&gt;0)</formula>
    </cfRule>
  </conditionalFormatting>
  <conditionalFormatting sqref="D21">
    <cfRule type="expression" priority="33" dxfId="0">
      <formula>AND(D21&gt;=$B21,Daily!$I$37&gt;0)</formula>
    </cfRule>
    <cfRule type="expression" priority="34" dxfId="1">
      <formula>AND(NOT(D21&gt;=$B21),Daily!$I$37&gt;0)</formula>
    </cfRule>
  </conditionalFormatting>
  <conditionalFormatting sqref="E21">
    <cfRule type="expression" priority="35" dxfId="0">
      <formula>AND(E21&gt;=$B21,Daily!$O$37&gt;0)</formula>
    </cfRule>
    <cfRule type="expression" priority="36" dxfId="1">
      <formula>AND(NOT(E21&gt;=$B21),Daily!$O$37&gt;0)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9" customWidth="1" min="1" max="1"/>
    <col width="10.5" customWidth="1" min="2" max="2"/>
    <col width="10.5" customWidth="1" min="3" max="3"/>
    <col width="9.5" customWidth="1" min="4" max="4"/>
    <col width="9.5" customWidth="1" min="5" max="5"/>
    <col width="10" customWidth="1" min="6" max="6"/>
    <col width="10.5" customWidth="1" min="7" max="7"/>
    <col width="10" customWidth="1" min="8" max="8"/>
    <col width="10.5" customWidth="1" min="9" max="9"/>
    <col width="13" customWidth="1" min="10" max="10"/>
    <col width="13" customWidth="1" min="11" max="11"/>
    <col width="7" customWidth="1" min="12" max="12"/>
  </cols>
  <sheetData>
    <row r="1" ht="30" customHeight="1">
      <c r="A1" s="1" t="inlineStr">
        <is>
          <t>Weekly Analysis · whole team and by rep</t>
        </is>
      </c>
    </row>
    <row r="2" ht="16" customHeight="1">
      <c r="A2" s="2" t="inlineStr">
        <is>
          <t>The week is computed from the day of the month (1-7 = Wk 1, 8-14 = Wk 2...). All automatic.</t>
        </is>
      </c>
    </row>
    <row r="4" ht="20" customHeight="1">
      <c r="A4" s="3" t="inlineStr">
        <is>
          <t>WHOLE TEAM, WEEK BY WEEK</t>
        </is>
      </c>
    </row>
    <row r="5" ht="24" customHeight="1">
      <c r="A5" s="17" t="inlineStr">
        <is>
          <t>Week</t>
        </is>
      </c>
      <c r="B5" s="17" t="inlineStr">
        <is>
          <t>Booked</t>
        </is>
      </c>
      <c r="C5" s="17" t="inlineStr">
        <is>
          <t>Held</t>
        </is>
      </c>
      <c r="D5" s="17" t="inlineStr">
        <is>
          <t>No-shows</t>
        </is>
      </c>
      <c r="E5" s="17" t="inlineStr">
        <is>
          <t>% no-show</t>
        </is>
      </c>
      <c r="F5" s="17" t="inlineStr">
        <is>
          <t>Proposals</t>
        </is>
      </c>
      <c r="G5" s="17" t="inlineStr">
        <is>
          <t>Sales call</t>
        </is>
      </c>
      <c r="H5" s="17" t="inlineStr">
        <is>
          <t>Sales FU</t>
        </is>
      </c>
      <c r="I5" s="17" t="inlineStr">
        <is>
          <t>Total sales</t>
        </is>
      </c>
      <c r="J5" s="17" t="inlineStr">
        <is>
          <t>Conv. meeting→sale</t>
        </is>
      </c>
      <c r="K5" s="17" t="inlineStr">
        <is>
          <t>Conv. proposal→sale</t>
        </is>
      </c>
    </row>
    <row r="6" ht="18" customHeight="1">
      <c r="A6" s="27" t="inlineStr">
        <is>
          <t>Wk 1</t>
        </is>
      </c>
      <c r="B6" s="28">
        <f>SUMIFS(Daily!$C$6:$C$36,Daily!$B$6:$B$36,1)+SUMIFS(Daily!$I$6:$I$36,Daily!$B$6:$B$36,1)+SUMIFS(Daily!$O$6:$O$36,Daily!$B$6:$B$36,1)</f>
        <v/>
      </c>
      <c r="C6" s="28">
        <f>SUMIFS(Daily!$D$6:$D$36,Daily!$B$6:$B$36,1)+SUMIFS(Daily!$J$6:$J$36,Daily!$B$6:$B$36,1)+SUMIFS(Daily!$P$6:$P$36,Daily!$B$6:$B$36,1)</f>
        <v/>
      </c>
      <c r="D6" s="28">
        <f>SUMIFS(Daily!$E$6:$E$36,Daily!$B$6:$B$36,1)+SUMIFS(Daily!$K$6:$K$36,Daily!$B$6:$B$36,1)+SUMIFS(Daily!$Q$6:$Q$36,Daily!$B$6:$B$36,1)</f>
        <v/>
      </c>
      <c r="E6" s="29">
        <f>IFERROR((SUMIFS(Daily!$E$6:$E$36,Daily!$B$6:$B$36,1)+SUMIFS(Daily!$K$6:$K$36,Daily!$B$6:$B$36,1)+SUMIFS(Daily!$Q$6:$Q$36,Daily!$B$6:$B$36,1))/MAX(SUMIFS(Daily!$C$6:$C$36,Daily!$B$6:$B$36,1)+SUMIFS(Daily!$I$6:$I$36,Daily!$B$6:$B$36,1)+SUMIFS(Daily!$O$6:$O$36,Daily!$B$6:$B$36,1),1),0)</f>
        <v/>
      </c>
      <c r="F6" s="28">
        <f>SUMIFS(Daily!$F$6:$F$36,Daily!$B$6:$B$36,1)+SUMIFS(Daily!$L$6:$L$36,Daily!$B$6:$B$36,1)+SUMIFS(Daily!$R$6:$R$36,Daily!$B$6:$B$36,1)</f>
        <v/>
      </c>
      <c r="G6" s="28">
        <f>SUMIFS(Daily!$G$6:$G$36,Daily!$B$6:$B$36,1)+SUMIFS(Daily!$M$6:$M$36,Daily!$B$6:$B$36,1)+SUMIFS(Daily!$S$6:$S$36,Daily!$B$6:$B$36,1)</f>
        <v/>
      </c>
      <c r="H6" s="28">
        <f>SUMIFS(Daily!$H$6:$H$36,Daily!$B$6:$B$36,1)+SUMIFS(Daily!$N$6:$N$36,Daily!$B$6:$B$36,1)+SUMIFS(Daily!$T$6:$T$36,Daily!$B$6:$B$36,1)</f>
        <v/>
      </c>
      <c r="I6" s="20">
        <f>(SUMIFS(Daily!$G$6:$G$36,Daily!$B$6:$B$36,1)+SUMIFS(Daily!$M$6:$M$36,Daily!$B$6:$B$36,1)+SUMIFS(Daily!$S$6:$S$36,Daily!$B$6:$B$36,1))+(SUMIFS(Daily!$H$6:$H$36,Daily!$B$6:$B$36,1)+SUMIFS(Daily!$N$6:$N$36,Daily!$B$6:$B$36,1)+SUMIFS(Daily!$T$6:$T$36,Daily!$B$6:$B$36,1))</f>
        <v/>
      </c>
      <c r="J6" s="29">
        <f>IFERROR(((SUMIFS(Daily!$G$6:$G$36,Daily!$B$6:$B$36,1)+SUMIFS(Daily!$M$6:$M$36,Daily!$B$6:$B$36,1)+SUMIFS(Daily!$S$6:$S$36,Daily!$B$6:$B$36,1))+(SUMIFS(Daily!$H$6:$H$36,Daily!$B$6:$B$36,1)+SUMIFS(Daily!$N$6:$N$36,Daily!$B$6:$B$36,1)+SUMIFS(Daily!$T$6:$T$36,Daily!$B$6:$B$36,1)))/MAX(SUMIFS(Daily!$D$6:$D$36,Daily!$B$6:$B$36,1)+SUMIFS(Daily!$J$6:$J$36,Daily!$B$6:$B$36,1)+SUMIFS(Daily!$P$6:$P$36,Daily!$B$6:$B$36,1),1),0)</f>
        <v/>
      </c>
      <c r="K6" s="29">
        <f>IFERROR(((SUMIFS(Daily!$G$6:$G$36,Daily!$B$6:$B$36,1)+SUMIFS(Daily!$M$6:$M$36,Daily!$B$6:$B$36,1)+SUMIFS(Daily!$S$6:$S$36,Daily!$B$6:$B$36,1))+(SUMIFS(Daily!$H$6:$H$36,Daily!$B$6:$B$36,1)+SUMIFS(Daily!$N$6:$N$36,Daily!$B$6:$B$36,1)+SUMIFS(Daily!$T$6:$T$36,Daily!$B$6:$B$36,1)))/MAX(SUMIFS(Daily!$F$6:$F$36,Daily!$B$6:$B$36,1)+SUMIFS(Daily!$L$6:$L$36,Daily!$B$6:$B$36,1)+SUMIFS(Daily!$R$6:$R$36,Daily!$B$6:$B$36,1),1),0)</f>
        <v/>
      </c>
    </row>
    <row r="7" ht="18" customHeight="1">
      <c r="A7" s="27" t="inlineStr">
        <is>
          <t>Wk 2</t>
        </is>
      </c>
      <c r="B7" s="28">
        <f>SUMIFS(Daily!$C$6:$C$36,Daily!$B$6:$B$36,2)+SUMIFS(Daily!$I$6:$I$36,Daily!$B$6:$B$36,2)+SUMIFS(Daily!$O$6:$O$36,Daily!$B$6:$B$36,2)</f>
        <v/>
      </c>
      <c r="C7" s="28">
        <f>SUMIFS(Daily!$D$6:$D$36,Daily!$B$6:$B$36,2)+SUMIFS(Daily!$J$6:$J$36,Daily!$B$6:$B$36,2)+SUMIFS(Daily!$P$6:$P$36,Daily!$B$6:$B$36,2)</f>
        <v/>
      </c>
      <c r="D7" s="28">
        <f>SUMIFS(Daily!$E$6:$E$36,Daily!$B$6:$B$36,2)+SUMIFS(Daily!$K$6:$K$36,Daily!$B$6:$B$36,2)+SUMIFS(Daily!$Q$6:$Q$36,Daily!$B$6:$B$36,2)</f>
        <v/>
      </c>
      <c r="E7" s="29">
        <f>IFERROR((SUMIFS(Daily!$E$6:$E$36,Daily!$B$6:$B$36,2)+SUMIFS(Daily!$K$6:$K$36,Daily!$B$6:$B$36,2)+SUMIFS(Daily!$Q$6:$Q$36,Daily!$B$6:$B$36,2))/MAX(SUMIFS(Daily!$C$6:$C$36,Daily!$B$6:$B$36,2)+SUMIFS(Daily!$I$6:$I$36,Daily!$B$6:$B$36,2)+SUMIFS(Daily!$O$6:$O$36,Daily!$B$6:$B$36,2),1),0)</f>
        <v/>
      </c>
      <c r="F7" s="28">
        <f>SUMIFS(Daily!$F$6:$F$36,Daily!$B$6:$B$36,2)+SUMIFS(Daily!$L$6:$L$36,Daily!$B$6:$B$36,2)+SUMIFS(Daily!$R$6:$R$36,Daily!$B$6:$B$36,2)</f>
        <v/>
      </c>
      <c r="G7" s="28">
        <f>SUMIFS(Daily!$G$6:$G$36,Daily!$B$6:$B$36,2)+SUMIFS(Daily!$M$6:$M$36,Daily!$B$6:$B$36,2)+SUMIFS(Daily!$S$6:$S$36,Daily!$B$6:$B$36,2)</f>
        <v/>
      </c>
      <c r="H7" s="28">
        <f>SUMIFS(Daily!$H$6:$H$36,Daily!$B$6:$B$36,2)+SUMIFS(Daily!$N$6:$N$36,Daily!$B$6:$B$36,2)+SUMIFS(Daily!$T$6:$T$36,Daily!$B$6:$B$36,2)</f>
        <v/>
      </c>
      <c r="I7" s="20">
        <f>(SUMIFS(Daily!$G$6:$G$36,Daily!$B$6:$B$36,2)+SUMIFS(Daily!$M$6:$M$36,Daily!$B$6:$B$36,2)+SUMIFS(Daily!$S$6:$S$36,Daily!$B$6:$B$36,2))+(SUMIFS(Daily!$H$6:$H$36,Daily!$B$6:$B$36,2)+SUMIFS(Daily!$N$6:$N$36,Daily!$B$6:$B$36,2)+SUMIFS(Daily!$T$6:$T$36,Daily!$B$6:$B$36,2))</f>
        <v/>
      </c>
      <c r="J7" s="29">
        <f>IFERROR(((SUMIFS(Daily!$G$6:$G$36,Daily!$B$6:$B$36,2)+SUMIFS(Daily!$M$6:$M$36,Daily!$B$6:$B$36,2)+SUMIFS(Daily!$S$6:$S$36,Daily!$B$6:$B$36,2))+(SUMIFS(Daily!$H$6:$H$36,Daily!$B$6:$B$36,2)+SUMIFS(Daily!$N$6:$N$36,Daily!$B$6:$B$36,2)+SUMIFS(Daily!$T$6:$T$36,Daily!$B$6:$B$36,2)))/MAX(SUMIFS(Daily!$D$6:$D$36,Daily!$B$6:$B$36,2)+SUMIFS(Daily!$J$6:$J$36,Daily!$B$6:$B$36,2)+SUMIFS(Daily!$P$6:$P$36,Daily!$B$6:$B$36,2),1),0)</f>
        <v/>
      </c>
      <c r="K7" s="29">
        <f>IFERROR(((SUMIFS(Daily!$G$6:$G$36,Daily!$B$6:$B$36,2)+SUMIFS(Daily!$M$6:$M$36,Daily!$B$6:$B$36,2)+SUMIFS(Daily!$S$6:$S$36,Daily!$B$6:$B$36,2))+(SUMIFS(Daily!$H$6:$H$36,Daily!$B$6:$B$36,2)+SUMIFS(Daily!$N$6:$N$36,Daily!$B$6:$B$36,2)+SUMIFS(Daily!$T$6:$T$36,Daily!$B$6:$B$36,2)))/MAX(SUMIFS(Daily!$F$6:$F$36,Daily!$B$6:$B$36,2)+SUMIFS(Daily!$L$6:$L$36,Daily!$B$6:$B$36,2)+SUMIFS(Daily!$R$6:$R$36,Daily!$B$6:$B$36,2),1),0)</f>
        <v/>
      </c>
    </row>
    <row r="8" ht="18" customHeight="1">
      <c r="A8" s="27" t="inlineStr">
        <is>
          <t>Wk 3</t>
        </is>
      </c>
      <c r="B8" s="28">
        <f>SUMIFS(Daily!$C$6:$C$36,Daily!$B$6:$B$36,3)+SUMIFS(Daily!$I$6:$I$36,Daily!$B$6:$B$36,3)+SUMIFS(Daily!$O$6:$O$36,Daily!$B$6:$B$36,3)</f>
        <v/>
      </c>
      <c r="C8" s="28">
        <f>SUMIFS(Daily!$D$6:$D$36,Daily!$B$6:$B$36,3)+SUMIFS(Daily!$J$6:$J$36,Daily!$B$6:$B$36,3)+SUMIFS(Daily!$P$6:$P$36,Daily!$B$6:$B$36,3)</f>
        <v/>
      </c>
      <c r="D8" s="28">
        <f>SUMIFS(Daily!$E$6:$E$36,Daily!$B$6:$B$36,3)+SUMIFS(Daily!$K$6:$K$36,Daily!$B$6:$B$36,3)+SUMIFS(Daily!$Q$6:$Q$36,Daily!$B$6:$B$36,3)</f>
        <v/>
      </c>
      <c r="E8" s="29">
        <f>IFERROR((SUMIFS(Daily!$E$6:$E$36,Daily!$B$6:$B$36,3)+SUMIFS(Daily!$K$6:$K$36,Daily!$B$6:$B$36,3)+SUMIFS(Daily!$Q$6:$Q$36,Daily!$B$6:$B$36,3))/MAX(SUMIFS(Daily!$C$6:$C$36,Daily!$B$6:$B$36,3)+SUMIFS(Daily!$I$6:$I$36,Daily!$B$6:$B$36,3)+SUMIFS(Daily!$O$6:$O$36,Daily!$B$6:$B$36,3),1),0)</f>
        <v/>
      </c>
      <c r="F8" s="28">
        <f>SUMIFS(Daily!$F$6:$F$36,Daily!$B$6:$B$36,3)+SUMIFS(Daily!$L$6:$L$36,Daily!$B$6:$B$36,3)+SUMIFS(Daily!$R$6:$R$36,Daily!$B$6:$B$36,3)</f>
        <v/>
      </c>
      <c r="G8" s="28">
        <f>SUMIFS(Daily!$G$6:$G$36,Daily!$B$6:$B$36,3)+SUMIFS(Daily!$M$6:$M$36,Daily!$B$6:$B$36,3)+SUMIFS(Daily!$S$6:$S$36,Daily!$B$6:$B$36,3)</f>
        <v/>
      </c>
      <c r="H8" s="28">
        <f>SUMIFS(Daily!$H$6:$H$36,Daily!$B$6:$B$36,3)+SUMIFS(Daily!$N$6:$N$36,Daily!$B$6:$B$36,3)+SUMIFS(Daily!$T$6:$T$36,Daily!$B$6:$B$36,3)</f>
        <v/>
      </c>
      <c r="I8" s="20">
        <f>(SUMIFS(Daily!$G$6:$G$36,Daily!$B$6:$B$36,3)+SUMIFS(Daily!$M$6:$M$36,Daily!$B$6:$B$36,3)+SUMIFS(Daily!$S$6:$S$36,Daily!$B$6:$B$36,3))+(SUMIFS(Daily!$H$6:$H$36,Daily!$B$6:$B$36,3)+SUMIFS(Daily!$N$6:$N$36,Daily!$B$6:$B$36,3)+SUMIFS(Daily!$T$6:$T$36,Daily!$B$6:$B$36,3))</f>
        <v/>
      </c>
      <c r="J8" s="29">
        <f>IFERROR(((SUMIFS(Daily!$G$6:$G$36,Daily!$B$6:$B$36,3)+SUMIFS(Daily!$M$6:$M$36,Daily!$B$6:$B$36,3)+SUMIFS(Daily!$S$6:$S$36,Daily!$B$6:$B$36,3))+(SUMIFS(Daily!$H$6:$H$36,Daily!$B$6:$B$36,3)+SUMIFS(Daily!$N$6:$N$36,Daily!$B$6:$B$36,3)+SUMIFS(Daily!$T$6:$T$36,Daily!$B$6:$B$36,3)))/MAX(SUMIFS(Daily!$D$6:$D$36,Daily!$B$6:$B$36,3)+SUMIFS(Daily!$J$6:$J$36,Daily!$B$6:$B$36,3)+SUMIFS(Daily!$P$6:$P$36,Daily!$B$6:$B$36,3),1),0)</f>
        <v/>
      </c>
      <c r="K8" s="29">
        <f>IFERROR(((SUMIFS(Daily!$G$6:$G$36,Daily!$B$6:$B$36,3)+SUMIFS(Daily!$M$6:$M$36,Daily!$B$6:$B$36,3)+SUMIFS(Daily!$S$6:$S$36,Daily!$B$6:$B$36,3))+(SUMIFS(Daily!$H$6:$H$36,Daily!$B$6:$B$36,3)+SUMIFS(Daily!$N$6:$N$36,Daily!$B$6:$B$36,3)+SUMIFS(Daily!$T$6:$T$36,Daily!$B$6:$B$36,3)))/MAX(SUMIFS(Daily!$F$6:$F$36,Daily!$B$6:$B$36,3)+SUMIFS(Daily!$L$6:$L$36,Daily!$B$6:$B$36,3)+SUMIFS(Daily!$R$6:$R$36,Daily!$B$6:$B$36,3),1),0)</f>
        <v/>
      </c>
    </row>
    <row r="9" ht="18" customHeight="1">
      <c r="A9" s="27" t="inlineStr">
        <is>
          <t>Wk 4</t>
        </is>
      </c>
      <c r="B9" s="28">
        <f>SUMIFS(Daily!$C$6:$C$36,Daily!$B$6:$B$36,4)+SUMIFS(Daily!$I$6:$I$36,Daily!$B$6:$B$36,4)+SUMIFS(Daily!$O$6:$O$36,Daily!$B$6:$B$36,4)</f>
        <v/>
      </c>
      <c r="C9" s="28">
        <f>SUMIFS(Daily!$D$6:$D$36,Daily!$B$6:$B$36,4)+SUMIFS(Daily!$J$6:$J$36,Daily!$B$6:$B$36,4)+SUMIFS(Daily!$P$6:$P$36,Daily!$B$6:$B$36,4)</f>
        <v/>
      </c>
      <c r="D9" s="28">
        <f>SUMIFS(Daily!$E$6:$E$36,Daily!$B$6:$B$36,4)+SUMIFS(Daily!$K$6:$K$36,Daily!$B$6:$B$36,4)+SUMIFS(Daily!$Q$6:$Q$36,Daily!$B$6:$B$36,4)</f>
        <v/>
      </c>
      <c r="E9" s="29">
        <f>IFERROR((SUMIFS(Daily!$E$6:$E$36,Daily!$B$6:$B$36,4)+SUMIFS(Daily!$K$6:$K$36,Daily!$B$6:$B$36,4)+SUMIFS(Daily!$Q$6:$Q$36,Daily!$B$6:$B$36,4))/MAX(SUMIFS(Daily!$C$6:$C$36,Daily!$B$6:$B$36,4)+SUMIFS(Daily!$I$6:$I$36,Daily!$B$6:$B$36,4)+SUMIFS(Daily!$O$6:$O$36,Daily!$B$6:$B$36,4),1),0)</f>
        <v/>
      </c>
      <c r="F9" s="28">
        <f>SUMIFS(Daily!$F$6:$F$36,Daily!$B$6:$B$36,4)+SUMIFS(Daily!$L$6:$L$36,Daily!$B$6:$B$36,4)+SUMIFS(Daily!$R$6:$R$36,Daily!$B$6:$B$36,4)</f>
        <v/>
      </c>
      <c r="G9" s="28">
        <f>SUMIFS(Daily!$G$6:$G$36,Daily!$B$6:$B$36,4)+SUMIFS(Daily!$M$6:$M$36,Daily!$B$6:$B$36,4)+SUMIFS(Daily!$S$6:$S$36,Daily!$B$6:$B$36,4)</f>
        <v/>
      </c>
      <c r="H9" s="28">
        <f>SUMIFS(Daily!$H$6:$H$36,Daily!$B$6:$B$36,4)+SUMIFS(Daily!$N$6:$N$36,Daily!$B$6:$B$36,4)+SUMIFS(Daily!$T$6:$T$36,Daily!$B$6:$B$36,4)</f>
        <v/>
      </c>
      <c r="I9" s="20">
        <f>(SUMIFS(Daily!$G$6:$G$36,Daily!$B$6:$B$36,4)+SUMIFS(Daily!$M$6:$M$36,Daily!$B$6:$B$36,4)+SUMIFS(Daily!$S$6:$S$36,Daily!$B$6:$B$36,4))+(SUMIFS(Daily!$H$6:$H$36,Daily!$B$6:$B$36,4)+SUMIFS(Daily!$N$6:$N$36,Daily!$B$6:$B$36,4)+SUMIFS(Daily!$T$6:$T$36,Daily!$B$6:$B$36,4))</f>
        <v/>
      </c>
      <c r="J9" s="29">
        <f>IFERROR(((SUMIFS(Daily!$G$6:$G$36,Daily!$B$6:$B$36,4)+SUMIFS(Daily!$M$6:$M$36,Daily!$B$6:$B$36,4)+SUMIFS(Daily!$S$6:$S$36,Daily!$B$6:$B$36,4))+(SUMIFS(Daily!$H$6:$H$36,Daily!$B$6:$B$36,4)+SUMIFS(Daily!$N$6:$N$36,Daily!$B$6:$B$36,4)+SUMIFS(Daily!$T$6:$T$36,Daily!$B$6:$B$36,4)))/MAX(SUMIFS(Daily!$D$6:$D$36,Daily!$B$6:$B$36,4)+SUMIFS(Daily!$J$6:$J$36,Daily!$B$6:$B$36,4)+SUMIFS(Daily!$P$6:$P$36,Daily!$B$6:$B$36,4),1),0)</f>
        <v/>
      </c>
      <c r="K9" s="29">
        <f>IFERROR(((SUMIFS(Daily!$G$6:$G$36,Daily!$B$6:$B$36,4)+SUMIFS(Daily!$M$6:$M$36,Daily!$B$6:$B$36,4)+SUMIFS(Daily!$S$6:$S$36,Daily!$B$6:$B$36,4))+(SUMIFS(Daily!$H$6:$H$36,Daily!$B$6:$B$36,4)+SUMIFS(Daily!$N$6:$N$36,Daily!$B$6:$B$36,4)+SUMIFS(Daily!$T$6:$T$36,Daily!$B$6:$B$36,4)))/MAX(SUMIFS(Daily!$F$6:$F$36,Daily!$B$6:$B$36,4)+SUMIFS(Daily!$L$6:$L$36,Daily!$B$6:$B$36,4)+SUMIFS(Daily!$R$6:$R$36,Daily!$B$6:$B$36,4),1),0)</f>
        <v/>
      </c>
    </row>
    <row r="10" ht="18" customHeight="1">
      <c r="A10" s="27" t="inlineStr">
        <is>
          <t>Wk 5</t>
        </is>
      </c>
      <c r="B10" s="28">
        <f>SUMIFS(Daily!$C$6:$C$36,Daily!$B$6:$B$36,5)+SUMIFS(Daily!$I$6:$I$36,Daily!$B$6:$B$36,5)+SUMIFS(Daily!$O$6:$O$36,Daily!$B$6:$B$36,5)</f>
        <v/>
      </c>
      <c r="C10" s="28">
        <f>SUMIFS(Daily!$D$6:$D$36,Daily!$B$6:$B$36,5)+SUMIFS(Daily!$J$6:$J$36,Daily!$B$6:$B$36,5)+SUMIFS(Daily!$P$6:$P$36,Daily!$B$6:$B$36,5)</f>
        <v/>
      </c>
      <c r="D10" s="28">
        <f>SUMIFS(Daily!$E$6:$E$36,Daily!$B$6:$B$36,5)+SUMIFS(Daily!$K$6:$K$36,Daily!$B$6:$B$36,5)+SUMIFS(Daily!$Q$6:$Q$36,Daily!$B$6:$B$36,5)</f>
        <v/>
      </c>
      <c r="E10" s="29">
        <f>IFERROR((SUMIFS(Daily!$E$6:$E$36,Daily!$B$6:$B$36,5)+SUMIFS(Daily!$K$6:$K$36,Daily!$B$6:$B$36,5)+SUMIFS(Daily!$Q$6:$Q$36,Daily!$B$6:$B$36,5))/MAX(SUMIFS(Daily!$C$6:$C$36,Daily!$B$6:$B$36,5)+SUMIFS(Daily!$I$6:$I$36,Daily!$B$6:$B$36,5)+SUMIFS(Daily!$O$6:$O$36,Daily!$B$6:$B$36,5),1),0)</f>
        <v/>
      </c>
      <c r="F10" s="28">
        <f>SUMIFS(Daily!$F$6:$F$36,Daily!$B$6:$B$36,5)+SUMIFS(Daily!$L$6:$L$36,Daily!$B$6:$B$36,5)+SUMIFS(Daily!$R$6:$R$36,Daily!$B$6:$B$36,5)</f>
        <v/>
      </c>
      <c r="G10" s="28">
        <f>SUMIFS(Daily!$G$6:$G$36,Daily!$B$6:$B$36,5)+SUMIFS(Daily!$M$6:$M$36,Daily!$B$6:$B$36,5)+SUMIFS(Daily!$S$6:$S$36,Daily!$B$6:$B$36,5)</f>
        <v/>
      </c>
      <c r="H10" s="28">
        <f>SUMIFS(Daily!$H$6:$H$36,Daily!$B$6:$B$36,5)+SUMIFS(Daily!$N$6:$N$36,Daily!$B$6:$B$36,5)+SUMIFS(Daily!$T$6:$T$36,Daily!$B$6:$B$36,5)</f>
        <v/>
      </c>
      <c r="I10" s="20">
        <f>(SUMIFS(Daily!$G$6:$G$36,Daily!$B$6:$B$36,5)+SUMIFS(Daily!$M$6:$M$36,Daily!$B$6:$B$36,5)+SUMIFS(Daily!$S$6:$S$36,Daily!$B$6:$B$36,5))+(SUMIFS(Daily!$H$6:$H$36,Daily!$B$6:$B$36,5)+SUMIFS(Daily!$N$6:$N$36,Daily!$B$6:$B$36,5)+SUMIFS(Daily!$T$6:$T$36,Daily!$B$6:$B$36,5))</f>
        <v/>
      </c>
      <c r="J10" s="29">
        <f>IFERROR(((SUMIFS(Daily!$G$6:$G$36,Daily!$B$6:$B$36,5)+SUMIFS(Daily!$M$6:$M$36,Daily!$B$6:$B$36,5)+SUMIFS(Daily!$S$6:$S$36,Daily!$B$6:$B$36,5))+(SUMIFS(Daily!$H$6:$H$36,Daily!$B$6:$B$36,5)+SUMIFS(Daily!$N$6:$N$36,Daily!$B$6:$B$36,5)+SUMIFS(Daily!$T$6:$T$36,Daily!$B$6:$B$36,5)))/MAX(SUMIFS(Daily!$D$6:$D$36,Daily!$B$6:$B$36,5)+SUMIFS(Daily!$J$6:$J$36,Daily!$B$6:$B$36,5)+SUMIFS(Daily!$P$6:$P$36,Daily!$B$6:$B$36,5),1),0)</f>
        <v/>
      </c>
      <c r="K10" s="29">
        <f>IFERROR(((SUMIFS(Daily!$G$6:$G$36,Daily!$B$6:$B$36,5)+SUMIFS(Daily!$M$6:$M$36,Daily!$B$6:$B$36,5)+SUMIFS(Daily!$S$6:$S$36,Daily!$B$6:$B$36,5))+(SUMIFS(Daily!$H$6:$H$36,Daily!$B$6:$B$36,5)+SUMIFS(Daily!$N$6:$N$36,Daily!$B$6:$B$36,5)+SUMIFS(Daily!$T$6:$T$36,Daily!$B$6:$B$36,5)))/MAX(SUMIFS(Daily!$F$6:$F$36,Daily!$B$6:$B$36,5)+SUMIFS(Daily!$L$6:$L$36,Daily!$B$6:$B$36,5)+SUMIFS(Daily!$R$6:$R$36,Daily!$B$6:$B$36,5),1),0)</f>
        <v/>
      </c>
    </row>
    <row r="11" ht="20" customHeight="1">
      <c r="A11" s="30" t="inlineStr">
        <is>
          <t>MONTH</t>
        </is>
      </c>
      <c r="B11" s="20">
        <f>Daily!$C$37+Daily!$I$37+Daily!$O$37</f>
        <v/>
      </c>
      <c r="C11" s="20">
        <f>Daily!$D$37+Daily!$J$37+Daily!$P$37</f>
        <v/>
      </c>
      <c r="D11" s="20">
        <f>Daily!$E$37+Daily!$K$37+Daily!$Q$37</f>
        <v/>
      </c>
      <c r="E11" s="25">
        <f>IFERROR((Daily!$E$37+Daily!$K$37+Daily!$Q$37)/MAX(Daily!$C$37+Daily!$I$37+Daily!$O$37,1),0)</f>
        <v/>
      </c>
      <c r="F11" s="20">
        <f>Daily!$F$37+Daily!$L$37+Daily!$R$37</f>
        <v/>
      </c>
      <c r="G11" s="20">
        <f>Daily!$G$37+Daily!$M$37+Daily!$S$37</f>
        <v/>
      </c>
      <c r="H11" s="20">
        <f>Daily!$H$37+Daily!$N$37+Daily!$T$37</f>
        <v/>
      </c>
      <c r="I11" s="31">
        <f>(Daily!$G$37+Daily!$M$37+Daily!$S$37)+(Daily!$H$37+Daily!$N$37+Daily!$T$37)</f>
        <v/>
      </c>
      <c r="J11" s="26">
        <f>IFERROR(((Daily!$G$37+Daily!$M$37+Daily!$S$37)+(Daily!$H$37+Daily!$N$37+Daily!$T$37))/MAX(Daily!$D$37+Daily!$J$37+Daily!$P$37,1),0)</f>
        <v/>
      </c>
      <c r="K11" s="26">
        <f>IFERROR(((Daily!$G$37+Daily!$M$37+Daily!$S$37)+(Daily!$H$37+Daily!$N$37+Daily!$T$37))/MAX(Daily!$F$37+Daily!$L$37+Daily!$R$37,1),0)</f>
        <v/>
      </c>
    </row>
    <row r="13" ht="20" customHeight="1">
      <c r="A13" s="3" t="inlineStr">
        <is>
          <t>BY REP, WEEK BY WEEK (HELD · SALES · CONVERSION)</t>
        </is>
      </c>
    </row>
    <row r="14">
      <c r="A14" s="32">
        <f>Team!$B$6</f>
        <v/>
      </c>
      <c r="B14" s="10" t="n"/>
      <c r="C14" s="10" t="n"/>
      <c r="E14" s="32">
        <f>Team!$B$7</f>
        <v/>
      </c>
      <c r="F14" s="10" t="n"/>
      <c r="G14" s="10" t="n"/>
      <c r="I14" s="32">
        <f>Team!$B$8</f>
        <v/>
      </c>
      <c r="J14" s="10" t="n"/>
      <c r="K14" s="10" t="n"/>
    </row>
    <row r="15">
      <c r="A15" s="16" t="inlineStr">
        <is>
          <t>Held</t>
        </is>
      </c>
      <c r="B15" s="16" t="inlineStr">
        <is>
          <t>Sales</t>
        </is>
      </c>
      <c r="C15" s="16" t="inlineStr">
        <is>
          <t>Conv.</t>
        </is>
      </c>
      <c r="E15" s="16" t="inlineStr">
        <is>
          <t>Held</t>
        </is>
      </c>
      <c r="F15" s="16" t="inlineStr">
        <is>
          <t>Sales</t>
        </is>
      </c>
      <c r="G15" s="16" t="inlineStr">
        <is>
          <t>Conv.</t>
        </is>
      </c>
      <c r="I15" s="16" t="inlineStr">
        <is>
          <t>Held</t>
        </is>
      </c>
      <c r="J15" s="16" t="inlineStr">
        <is>
          <t>Sales</t>
        </is>
      </c>
      <c r="K15" s="16" t="inlineStr">
        <is>
          <t>Conv.</t>
        </is>
      </c>
    </row>
    <row r="16" ht="16" customHeight="1">
      <c r="A16" s="28">
        <f>SUMIFS(Daily!$D$6:$D$36,Daily!$B$6:$B$36,1)</f>
        <v/>
      </c>
      <c r="B16" s="28">
        <f>SUMIFS(Daily!$G$6:$G$36,Daily!$B$6:$B$36,1)+SUMIFS(Daily!$H$6:$H$36,Daily!$B$6:$B$36,1)</f>
        <v/>
      </c>
      <c r="C16" s="29">
        <f>IFERROR((SUMIFS(Daily!$G$6:$G$36,Daily!$B$6:$B$36,1)+SUMIFS(Daily!$H$6:$H$36,Daily!$B$6:$B$36,1))/MAX(SUMIFS(Daily!$D$6:$D$36,Daily!$B$6:$B$36,1),1),0)</f>
        <v/>
      </c>
      <c r="E16" s="28">
        <f>SUMIFS(Daily!$J$6:$J$36,Daily!$B$6:$B$36,1)</f>
        <v/>
      </c>
      <c r="F16" s="28">
        <f>SUMIFS(Daily!$M$6:$M$36,Daily!$B$6:$B$36,1)+SUMIFS(Daily!$N$6:$N$36,Daily!$B$6:$B$36,1)</f>
        <v/>
      </c>
      <c r="G16" s="29">
        <f>IFERROR((SUMIFS(Daily!$M$6:$M$36,Daily!$B$6:$B$36,1)+SUMIFS(Daily!$N$6:$N$36,Daily!$B$6:$B$36,1))/MAX(SUMIFS(Daily!$J$6:$J$36,Daily!$B$6:$B$36,1),1),0)</f>
        <v/>
      </c>
      <c r="I16" s="28">
        <f>SUMIFS(Daily!$P$6:$P$36,Daily!$B$6:$B$36,1)</f>
        <v/>
      </c>
      <c r="J16" s="28">
        <f>SUMIFS(Daily!$S$6:$S$36,Daily!$B$6:$B$36,1)+SUMIFS(Daily!$T$6:$T$36,Daily!$B$6:$B$36,1)</f>
        <v/>
      </c>
      <c r="K16" s="29">
        <f>IFERROR((SUMIFS(Daily!$S$6:$S$36,Daily!$B$6:$B$36,1)+SUMIFS(Daily!$T$6:$T$36,Daily!$B$6:$B$36,1))/MAX(SUMIFS(Daily!$P$6:$P$36,Daily!$B$6:$B$36,1),1),0)</f>
        <v/>
      </c>
      <c r="L16" s="33" t="inlineStr">
        <is>
          <t>Wk 1</t>
        </is>
      </c>
    </row>
    <row r="17" ht="16" customHeight="1">
      <c r="A17" s="28">
        <f>SUMIFS(Daily!$D$6:$D$36,Daily!$B$6:$B$36,2)</f>
        <v/>
      </c>
      <c r="B17" s="28">
        <f>SUMIFS(Daily!$G$6:$G$36,Daily!$B$6:$B$36,2)+SUMIFS(Daily!$H$6:$H$36,Daily!$B$6:$B$36,2)</f>
        <v/>
      </c>
      <c r="C17" s="29">
        <f>IFERROR((SUMIFS(Daily!$G$6:$G$36,Daily!$B$6:$B$36,2)+SUMIFS(Daily!$H$6:$H$36,Daily!$B$6:$B$36,2))/MAX(SUMIFS(Daily!$D$6:$D$36,Daily!$B$6:$B$36,2),1),0)</f>
        <v/>
      </c>
      <c r="E17" s="28">
        <f>SUMIFS(Daily!$J$6:$J$36,Daily!$B$6:$B$36,2)</f>
        <v/>
      </c>
      <c r="F17" s="28">
        <f>SUMIFS(Daily!$M$6:$M$36,Daily!$B$6:$B$36,2)+SUMIFS(Daily!$N$6:$N$36,Daily!$B$6:$B$36,2)</f>
        <v/>
      </c>
      <c r="G17" s="29">
        <f>IFERROR((SUMIFS(Daily!$M$6:$M$36,Daily!$B$6:$B$36,2)+SUMIFS(Daily!$N$6:$N$36,Daily!$B$6:$B$36,2))/MAX(SUMIFS(Daily!$J$6:$J$36,Daily!$B$6:$B$36,2),1),0)</f>
        <v/>
      </c>
      <c r="I17" s="28">
        <f>SUMIFS(Daily!$P$6:$P$36,Daily!$B$6:$B$36,2)</f>
        <v/>
      </c>
      <c r="J17" s="28">
        <f>SUMIFS(Daily!$S$6:$S$36,Daily!$B$6:$B$36,2)+SUMIFS(Daily!$T$6:$T$36,Daily!$B$6:$B$36,2)</f>
        <v/>
      </c>
      <c r="K17" s="29">
        <f>IFERROR((SUMIFS(Daily!$S$6:$S$36,Daily!$B$6:$B$36,2)+SUMIFS(Daily!$T$6:$T$36,Daily!$B$6:$B$36,2))/MAX(SUMIFS(Daily!$P$6:$P$36,Daily!$B$6:$B$36,2),1),0)</f>
        <v/>
      </c>
      <c r="L17" s="33" t="inlineStr">
        <is>
          <t>Wk 2</t>
        </is>
      </c>
    </row>
    <row r="18" ht="16" customHeight="1">
      <c r="A18" s="28">
        <f>SUMIFS(Daily!$D$6:$D$36,Daily!$B$6:$B$36,3)</f>
        <v/>
      </c>
      <c r="B18" s="28">
        <f>SUMIFS(Daily!$G$6:$G$36,Daily!$B$6:$B$36,3)+SUMIFS(Daily!$H$6:$H$36,Daily!$B$6:$B$36,3)</f>
        <v/>
      </c>
      <c r="C18" s="29">
        <f>IFERROR((SUMIFS(Daily!$G$6:$G$36,Daily!$B$6:$B$36,3)+SUMIFS(Daily!$H$6:$H$36,Daily!$B$6:$B$36,3))/MAX(SUMIFS(Daily!$D$6:$D$36,Daily!$B$6:$B$36,3),1),0)</f>
        <v/>
      </c>
      <c r="E18" s="28">
        <f>SUMIFS(Daily!$J$6:$J$36,Daily!$B$6:$B$36,3)</f>
        <v/>
      </c>
      <c r="F18" s="28">
        <f>SUMIFS(Daily!$M$6:$M$36,Daily!$B$6:$B$36,3)+SUMIFS(Daily!$N$6:$N$36,Daily!$B$6:$B$36,3)</f>
        <v/>
      </c>
      <c r="G18" s="29">
        <f>IFERROR((SUMIFS(Daily!$M$6:$M$36,Daily!$B$6:$B$36,3)+SUMIFS(Daily!$N$6:$N$36,Daily!$B$6:$B$36,3))/MAX(SUMIFS(Daily!$J$6:$J$36,Daily!$B$6:$B$36,3),1),0)</f>
        <v/>
      </c>
      <c r="I18" s="28">
        <f>SUMIFS(Daily!$P$6:$P$36,Daily!$B$6:$B$36,3)</f>
        <v/>
      </c>
      <c r="J18" s="28">
        <f>SUMIFS(Daily!$S$6:$S$36,Daily!$B$6:$B$36,3)+SUMIFS(Daily!$T$6:$T$36,Daily!$B$6:$B$36,3)</f>
        <v/>
      </c>
      <c r="K18" s="29">
        <f>IFERROR((SUMIFS(Daily!$S$6:$S$36,Daily!$B$6:$B$36,3)+SUMIFS(Daily!$T$6:$T$36,Daily!$B$6:$B$36,3))/MAX(SUMIFS(Daily!$P$6:$P$36,Daily!$B$6:$B$36,3),1),0)</f>
        <v/>
      </c>
      <c r="L18" s="33" t="inlineStr">
        <is>
          <t>Wk 3</t>
        </is>
      </c>
    </row>
    <row r="19" ht="16" customHeight="1">
      <c r="A19" s="28">
        <f>SUMIFS(Daily!$D$6:$D$36,Daily!$B$6:$B$36,4)</f>
        <v/>
      </c>
      <c r="B19" s="28">
        <f>SUMIFS(Daily!$G$6:$G$36,Daily!$B$6:$B$36,4)+SUMIFS(Daily!$H$6:$H$36,Daily!$B$6:$B$36,4)</f>
        <v/>
      </c>
      <c r="C19" s="29">
        <f>IFERROR((SUMIFS(Daily!$G$6:$G$36,Daily!$B$6:$B$36,4)+SUMIFS(Daily!$H$6:$H$36,Daily!$B$6:$B$36,4))/MAX(SUMIFS(Daily!$D$6:$D$36,Daily!$B$6:$B$36,4),1),0)</f>
        <v/>
      </c>
      <c r="E19" s="28">
        <f>SUMIFS(Daily!$J$6:$J$36,Daily!$B$6:$B$36,4)</f>
        <v/>
      </c>
      <c r="F19" s="28">
        <f>SUMIFS(Daily!$M$6:$M$36,Daily!$B$6:$B$36,4)+SUMIFS(Daily!$N$6:$N$36,Daily!$B$6:$B$36,4)</f>
        <v/>
      </c>
      <c r="G19" s="29">
        <f>IFERROR((SUMIFS(Daily!$M$6:$M$36,Daily!$B$6:$B$36,4)+SUMIFS(Daily!$N$6:$N$36,Daily!$B$6:$B$36,4))/MAX(SUMIFS(Daily!$J$6:$J$36,Daily!$B$6:$B$36,4),1),0)</f>
        <v/>
      </c>
      <c r="I19" s="28">
        <f>SUMIFS(Daily!$P$6:$P$36,Daily!$B$6:$B$36,4)</f>
        <v/>
      </c>
      <c r="J19" s="28">
        <f>SUMIFS(Daily!$S$6:$S$36,Daily!$B$6:$B$36,4)+SUMIFS(Daily!$T$6:$T$36,Daily!$B$6:$B$36,4)</f>
        <v/>
      </c>
      <c r="K19" s="29">
        <f>IFERROR((SUMIFS(Daily!$S$6:$S$36,Daily!$B$6:$B$36,4)+SUMIFS(Daily!$T$6:$T$36,Daily!$B$6:$B$36,4))/MAX(SUMIFS(Daily!$P$6:$P$36,Daily!$B$6:$B$36,4),1),0)</f>
        <v/>
      </c>
      <c r="L19" s="33" t="inlineStr">
        <is>
          <t>Wk 4</t>
        </is>
      </c>
    </row>
    <row r="20" ht="16" customHeight="1">
      <c r="A20" s="28">
        <f>SUMIFS(Daily!$D$6:$D$36,Daily!$B$6:$B$36,5)</f>
        <v/>
      </c>
      <c r="B20" s="28">
        <f>SUMIFS(Daily!$G$6:$G$36,Daily!$B$6:$B$36,5)+SUMIFS(Daily!$H$6:$H$36,Daily!$B$6:$B$36,5)</f>
        <v/>
      </c>
      <c r="C20" s="29">
        <f>IFERROR((SUMIFS(Daily!$G$6:$G$36,Daily!$B$6:$B$36,5)+SUMIFS(Daily!$H$6:$H$36,Daily!$B$6:$B$36,5))/MAX(SUMIFS(Daily!$D$6:$D$36,Daily!$B$6:$B$36,5),1),0)</f>
        <v/>
      </c>
      <c r="E20" s="28">
        <f>SUMIFS(Daily!$J$6:$J$36,Daily!$B$6:$B$36,5)</f>
        <v/>
      </c>
      <c r="F20" s="28">
        <f>SUMIFS(Daily!$M$6:$M$36,Daily!$B$6:$B$36,5)+SUMIFS(Daily!$N$6:$N$36,Daily!$B$6:$B$36,5)</f>
        <v/>
      </c>
      <c r="G20" s="29">
        <f>IFERROR((SUMIFS(Daily!$M$6:$M$36,Daily!$B$6:$B$36,5)+SUMIFS(Daily!$N$6:$N$36,Daily!$B$6:$B$36,5))/MAX(SUMIFS(Daily!$J$6:$J$36,Daily!$B$6:$B$36,5),1),0)</f>
        <v/>
      </c>
      <c r="I20" s="28">
        <f>SUMIFS(Daily!$P$6:$P$36,Daily!$B$6:$B$36,5)</f>
        <v/>
      </c>
      <c r="J20" s="28">
        <f>SUMIFS(Daily!$S$6:$S$36,Daily!$B$6:$B$36,5)+SUMIFS(Daily!$T$6:$T$36,Daily!$B$6:$B$36,5)</f>
        <v/>
      </c>
      <c r="K20" s="29">
        <f>IFERROR((SUMIFS(Daily!$S$6:$S$36,Daily!$B$6:$B$36,5)+SUMIFS(Daily!$T$6:$T$36,Daily!$B$6:$B$36,5))/MAX(SUMIFS(Daily!$P$6:$P$36,Daily!$B$6:$B$36,5),1),0)</f>
        <v/>
      </c>
      <c r="L20" s="33" t="inlineStr">
        <is>
          <t>Wk 5</t>
        </is>
      </c>
    </row>
  </sheetData>
  <mergeCells count="7">
    <mergeCell ref="A4:K4"/>
    <mergeCell ref="E14:G14"/>
    <mergeCell ref="I14:K14"/>
    <mergeCell ref="A14:C14"/>
    <mergeCell ref="A2:K2"/>
    <mergeCell ref="A13:K13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.5" customWidth="1" min="1" max="1"/>
    <col width="20" customWidth="1" min="2" max="2"/>
    <col width="20" customWidth="1" min="3" max="3"/>
    <col width="17" customWidth="1" min="4" max="4"/>
  </cols>
  <sheetData>
    <row r="1" ht="30" customHeight="1">
      <c r="A1" s="1" t="inlineStr">
        <is>
          <t>Team · Closers and Targets</t>
        </is>
      </c>
    </row>
    <row r="2" ht="16" customHeight="1">
      <c r="A2" s="2" t="inlineStr">
        <is>
          <t>Edit the yellow fields. Names feed all the tabs.</t>
        </is>
      </c>
    </row>
    <row r="4" ht="20" customHeight="1">
      <c r="A4" s="3" t="inlineStr">
        <is>
          <t>REPS (CLOSERS)</t>
        </is>
      </c>
    </row>
    <row r="5">
      <c r="A5" s="17" t="inlineStr">
        <is>
          <t>#</t>
        </is>
      </c>
      <c r="B5" s="17" t="inlineStr">
        <is>
          <t>Name</t>
        </is>
      </c>
      <c r="C5" s="17" t="inlineStr">
        <is>
          <t>Meetings/week target</t>
        </is>
      </c>
      <c r="D5" s="17" t="inlineStr">
        <is>
          <t>Sales/month target</t>
        </is>
      </c>
    </row>
    <row r="6" ht="20" customHeight="1">
      <c r="A6" s="34" t="n">
        <v>1</v>
      </c>
      <c r="B6" s="35" t="inlineStr">
        <is>
          <t>Rep 1</t>
        </is>
      </c>
      <c r="C6" s="36" t="n">
        <v>15</v>
      </c>
      <c r="D6" s="36" t="n">
        <v>8</v>
      </c>
    </row>
    <row r="7" ht="20" customHeight="1">
      <c r="A7" s="34" t="n">
        <v>2</v>
      </c>
      <c r="B7" s="35" t="inlineStr">
        <is>
          <t>Rep 2</t>
        </is>
      </c>
      <c r="C7" s="36" t="n">
        <v>15</v>
      </c>
      <c r="D7" s="36" t="n">
        <v>8</v>
      </c>
    </row>
    <row r="8" ht="20" customHeight="1">
      <c r="A8" s="34" t="n">
        <v>3</v>
      </c>
      <c r="B8" s="35" t="inlineStr">
        <is>
          <t>Rep 3</t>
        </is>
      </c>
      <c r="C8" s="36" t="n">
        <v>15</v>
      </c>
      <c r="D8" s="36" t="n">
        <v>8</v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.5" customWidth="1" min="2" max="2"/>
    <col width="7.8" customWidth="1" min="3" max="3"/>
    <col width="7.8" customWidth="1" min="4" max="4"/>
    <col width="7.8" customWidth="1" min="5" max="5"/>
    <col width="7.8" customWidth="1" min="6" max="6"/>
    <col width="7.8" customWidth="1" min="7" max="7"/>
    <col width="7.8" customWidth="1" min="8" max="8"/>
    <col width="7.8" customWidth="1" min="9" max="9"/>
    <col width="7.8" customWidth="1" min="10" max="10"/>
    <col width="7.8" customWidth="1" min="11" max="11"/>
    <col width="7.8" customWidth="1" min="12" max="12"/>
    <col width="7.8" customWidth="1" min="13" max="13"/>
    <col width="7.8" customWidth="1" min="14" max="14"/>
    <col width="7.8" customWidth="1" min="15" max="15"/>
    <col width="7.8" customWidth="1" min="16" max="16"/>
    <col width="7.8" customWidth="1" min="17" max="17"/>
    <col width="7.8" customWidth="1" min="18" max="18"/>
    <col width="7.8" customWidth="1" min="19" max="19"/>
    <col width="7.8" customWidth="1" min="20" max="20"/>
  </cols>
  <sheetData>
    <row r="1" ht="30" customHeight="1">
      <c r="A1" s="1" t="inlineStr">
        <is>
          <t>Daily Log · numbers only, 30 seconds</t>
        </is>
      </c>
    </row>
    <row r="2" ht="16" customHeight="1">
      <c r="A2" s="2" t="inlineStr">
        <is>
          <t>Each rep fills their own column at the end of the day. Leave blank the days with no calendar.</t>
        </is>
      </c>
    </row>
    <row r="4" ht="22" customHeight="1">
      <c r="A4" s="16" t="inlineStr">
        <is>
          <t>Day</t>
        </is>
      </c>
      <c r="B4" s="16" t="inlineStr">
        <is>
          <t>Wk</t>
        </is>
      </c>
      <c r="C4" s="37">
        <f>Team!$B$6</f>
        <v/>
      </c>
      <c r="D4" s="10" t="n"/>
      <c r="E4" s="10" t="n"/>
      <c r="F4" s="10" t="n"/>
      <c r="G4" s="10" t="n"/>
      <c r="H4" s="10" t="n"/>
      <c r="I4" s="37">
        <f>Team!$B$7</f>
        <v/>
      </c>
      <c r="J4" s="10" t="n"/>
      <c r="K4" s="10" t="n"/>
      <c r="L4" s="10" t="n"/>
      <c r="M4" s="10" t="n"/>
      <c r="N4" s="10" t="n"/>
      <c r="O4" s="37">
        <f>Team!$B$8</f>
        <v/>
      </c>
      <c r="P4" s="10" t="n"/>
      <c r="Q4" s="10" t="n"/>
      <c r="R4" s="10" t="n"/>
      <c r="S4" s="10" t="n"/>
      <c r="T4" s="10" t="n"/>
    </row>
    <row r="5" ht="18" customHeight="1">
      <c r="A5" s="38" t="n"/>
      <c r="B5" s="38" t="n"/>
      <c r="C5" s="39" t="inlineStr">
        <is>
          <t>Bkd</t>
        </is>
      </c>
      <c r="D5" s="39" t="inlineStr">
        <is>
          <t>Held</t>
        </is>
      </c>
      <c r="E5" s="39" t="inlineStr">
        <is>
          <t>No-show</t>
        </is>
      </c>
      <c r="F5" s="39" t="inlineStr">
        <is>
          <t>Prop.</t>
        </is>
      </c>
      <c r="G5" s="39" t="inlineStr">
        <is>
          <t>Sale call</t>
        </is>
      </c>
      <c r="H5" s="39" t="inlineStr">
        <is>
          <t>Sale FU</t>
        </is>
      </c>
      <c r="I5" s="16" t="inlineStr">
        <is>
          <t>Bkd</t>
        </is>
      </c>
      <c r="J5" s="16" t="inlineStr">
        <is>
          <t>Held</t>
        </is>
      </c>
      <c r="K5" s="16" t="inlineStr">
        <is>
          <t>No-show</t>
        </is>
      </c>
      <c r="L5" s="16" t="inlineStr">
        <is>
          <t>Prop.</t>
        </is>
      </c>
      <c r="M5" s="16" t="inlineStr">
        <is>
          <t>Sale call</t>
        </is>
      </c>
      <c r="N5" s="16" t="inlineStr">
        <is>
          <t>Sale FU</t>
        </is>
      </c>
      <c r="O5" s="39" t="inlineStr">
        <is>
          <t>Bkd</t>
        </is>
      </c>
      <c r="P5" s="39" t="inlineStr">
        <is>
          <t>Held</t>
        </is>
      </c>
      <c r="Q5" s="39" t="inlineStr">
        <is>
          <t>No-show</t>
        </is>
      </c>
      <c r="R5" s="39" t="inlineStr">
        <is>
          <t>Prop.</t>
        </is>
      </c>
      <c r="S5" s="39" t="inlineStr">
        <is>
          <t>Sale call</t>
        </is>
      </c>
      <c r="T5" s="39" t="inlineStr">
        <is>
          <t>Sale FU</t>
        </is>
      </c>
    </row>
    <row r="6" ht="16" customHeight="1">
      <c r="A6" s="40" t="n">
        <v>1</v>
      </c>
      <c r="B6" s="34">
        <f>ROUNDUP(A6/7,0)</f>
        <v/>
      </c>
      <c r="C6" s="41" t="n"/>
      <c r="D6" s="41" t="n"/>
      <c r="E6" s="41" t="n"/>
      <c r="F6" s="41" t="n"/>
      <c r="G6" s="41" t="n"/>
      <c r="H6" s="41" t="n"/>
      <c r="I6" s="42" t="n"/>
      <c r="J6" s="42" t="n"/>
      <c r="K6" s="42" t="n"/>
      <c r="L6" s="42" t="n"/>
      <c r="M6" s="42" t="n"/>
      <c r="N6" s="42" t="n"/>
      <c r="O6" s="41" t="n"/>
      <c r="P6" s="41" t="n"/>
      <c r="Q6" s="41" t="n"/>
      <c r="R6" s="41" t="n"/>
      <c r="S6" s="41" t="n"/>
      <c r="T6" s="41" t="n"/>
    </row>
    <row r="7" ht="16" customHeight="1">
      <c r="A7" s="40" t="n">
        <v>2</v>
      </c>
      <c r="B7" s="34">
        <f>ROUNDUP(A7/7,0)</f>
        <v/>
      </c>
      <c r="C7" s="41" t="n"/>
      <c r="D7" s="41" t="n"/>
      <c r="E7" s="41" t="n"/>
      <c r="F7" s="41" t="n"/>
      <c r="G7" s="41" t="n"/>
      <c r="H7" s="41" t="n"/>
      <c r="I7" s="42" t="n"/>
      <c r="J7" s="42" t="n"/>
      <c r="K7" s="42" t="n"/>
      <c r="L7" s="42" t="n"/>
      <c r="M7" s="42" t="n"/>
      <c r="N7" s="42" t="n"/>
      <c r="O7" s="41" t="n"/>
      <c r="P7" s="41" t="n"/>
      <c r="Q7" s="41" t="n"/>
      <c r="R7" s="41" t="n"/>
      <c r="S7" s="41" t="n"/>
      <c r="T7" s="41" t="n"/>
    </row>
    <row r="8" ht="16" customHeight="1">
      <c r="A8" s="40" t="n">
        <v>3</v>
      </c>
      <c r="B8" s="34">
        <f>ROUNDUP(A8/7,0)</f>
        <v/>
      </c>
      <c r="C8" s="41" t="n"/>
      <c r="D8" s="41" t="n"/>
      <c r="E8" s="41" t="n"/>
      <c r="F8" s="41" t="n"/>
      <c r="G8" s="41" t="n"/>
      <c r="H8" s="41" t="n"/>
      <c r="I8" s="42" t="n"/>
      <c r="J8" s="42" t="n"/>
      <c r="K8" s="42" t="n"/>
      <c r="L8" s="42" t="n"/>
      <c r="M8" s="42" t="n"/>
      <c r="N8" s="42" t="n"/>
      <c r="O8" s="41" t="n"/>
      <c r="P8" s="41" t="n"/>
      <c r="Q8" s="41" t="n"/>
      <c r="R8" s="41" t="n"/>
      <c r="S8" s="41" t="n"/>
      <c r="T8" s="41" t="n"/>
    </row>
    <row r="9" ht="16" customHeight="1">
      <c r="A9" s="40" t="n">
        <v>4</v>
      </c>
      <c r="B9" s="34">
        <f>ROUNDUP(A9/7,0)</f>
        <v/>
      </c>
      <c r="C9" s="41" t="n"/>
      <c r="D9" s="41" t="n"/>
      <c r="E9" s="41" t="n"/>
      <c r="F9" s="41" t="n"/>
      <c r="G9" s="41" t="n"/>
      <c r="H9" s="41" t="n"/>
      <c r="I9" s="42" t="n"/>
      <c r="J9" s="42" t="n"/>
      <c r="K9" s="42" t="n"/>
      <c r="L9" s="42" t="n"/>
      <c r="M9" s="42" t="n"/>
      <c r="N9" s="42" t="n"/>
      <c r="O9" s="41" t="n"/>
      <c r="P9" s="41" t="n"/>
      <c r="Q9" s="41" t="n"/>
      <c r="R9" s="41" t="n"/>
      <c r="S9" s="41" t="n"/>
      <c r="T9" s="41" t="n"/>
    </row>
    <row r="10" ht="16" customHeight="1">
      <c r="A10" s="40" t="n">
        <v>5</v>
      </c>
      <c r="B10" s="34">
        <f>ROUNDUP(A10/7,0)</f>
        <v/>
      </c>
      <c r="C10" s="41" t="n"/>
      <c r="D10" s="41" t="n"/>
      <c r="E10" s="41" t="n"/>
      <c r="F10" s="41" t="n"/>
      <c r="G10" s="41" t="n"/>
      <c r="H10" s="41" t="n"/>
      <c r="I10" s="42" t="n"/>
      <c r="J10" s="42" t="n"/>
      <c r="K10" s="42" t="n"/>
      <c r="L10" s="42" t="n"/>
      <c r="M10" s="42" t="n"/>
      <c r="N10" s="42" t="n"/>
      <c r="O10" s="41" t="n"/>
      <c r="P10" s="41" t="n"/>
      <c r="Q10" s="41" t="n"/>
      <c r="R10" s="41" t="n"/>
      <c r="S10" s="41" t="n"/>
      <c r="T10" s="41" t="n"/>
    </row>
    <row r="11" ht="16" customHeight="1">
      <c r="A11" s="40" t="n">
        <v>6</v>
      </c>
      <c r="B11" s="34">
        <f>ROUNDUP(A11/7,0)</f>
        <v/>
      </c>
      <c r="C11" s="41" t="n"/>
      <c r="D11" s="41" t="n"/>
      <c r="E11" s="41" t="n"/>
      <c r="F11" s="41" t="n"/>
      <c r="G11" s="41" t="n"/>
      <c r="H11" s="41" t="n"/>
      <c r="I11" s="42" t="n"/>
      <c r="J11" s="42" t="n"/>
      <c r="K11" s="42" t="n"/>
      <c r="L11" s="42" t="n"/>
      <c r="M11" s="42" t="n"/>
      <c r="N11" s="42" t="n"/>
      <c r="O11" s="41" t="n"/>
      <c r="P11" s="41" t="n"/>
      <c r="Q11" s="41" t="n"/>
      <c r="R11" s="41" t="n"/>
      <c r="S11" s="41" t="n"/>
      <c r="T11" s="41" t="n"/>
    </row>
    <row r="12" ht="16" customHeight="1">
      <c r="A12" s="40" t="n">
        <v>7</v>
      </c>
      <c r="B12" s="34">
        <f>ROUNDUP(A12/7,0)</f>
        <v/>
      </c>
      <c r="C12" s="41" t="n"/>
      <c r="D12" s="41" t="n"/>
      <c r="E12" s="41" t="n"/>
      <c r="F12" s="41" t="n"/>
      <c r="G12" s="41" t="n"/>
      <c r="H12" s="41" t="n"/>
      <c r="I12" s="42" t="n"/>
      <c r="J12" s="42" t="n"/>
      <c r="K12" s="42" t="n"/>
      <c r="L12" s="42" t="n"/>
      <c r="M12" s="42" t="n"/>
      <c r="N12" s="42" t="n"/>
      <c r="O12" s="41" t="n"/>
      <c r="P12" s="41" t="n"/>
      <c r="Q12" s="41" t="n"/>
      <c r="R12" s="41" t="n"/>
      <c r="S12" s="41" t="n"/>
      <c r="T12" s="41" t="n"/>
    </row>
    <row r="13" ht="16" customHeight="1">
      <c r="A13" s="40" t="n">
        <v>8</v>
      </c>
      <c r="B13" s="34">
        <f>ROUNDUP(A13/7,0)</f>
        <v/>
      </c>
      <c r="C13" s="41" t="n"/>
      <c r="D13" s="41" t="n"/>
      <c r="E13" s="41" t="n"/>
      <c r="F13" s="41" t="n"/>
      <c r="G13" s="41" t="n"/>
      <c r="H13" s="41" t="n"/>
      <c r="I13" s="42" t="n"/>
      <c r="J13" s="42" t="n"/>
      <c r="K13" s="42" t="n"/>
      <c r="L13" s="42" t="n"/>
      <c r="M13" s="42" t="n"/>
      <c r="N13" s="42" t="n"/>
      <c r="O13" s="41" t="n"/>
      <c r="P13" s="41" t="n"/>
      <c r="Q13" s="41" t="n"/>
      <c r="R13" s="41" t="n"/>
      <c r="S13" s="41" t="n"/>
      <c r="T13" s="41" t="n"/>
    </row>
    <row r="14" ht="16" customHeight="1">
      <c r="A14" s="40" t="n">
        <v>9</v>
      </c>
      <c r="B14" s="34">
        <f>ROUNDUP(A14/7,0)</f>
        <v/>
      </c>
      <c r="C14" s="41" t="n"/>
      <c r="D14" s="41" t="n"/>
      <c r="E14" s="41" t="n"/>
      <c r="F14" s="41" t="n"/>
      <c r="G14" s="41" t="n"/>
      <c r="H14" s="41" t="n"/>
      <c r="I14" s="42" t="n"/>
      <c r="J14" s="42" t="n"/>
      <c r="K14" s="42" t="n"/>
      <c r="L14" s="42" t="n"/>
      <c r="M14" s="42" t="n"/>
      <c r="N14" s="42" t="n"/>
      <c r="O14" s="41" t="n"/>
      <c r="P14" s="41" t="n"/>
      <c r="Q14" s="41" t="n"/>
      <c r="R14" s="41" t="n"/>
      <c r="S14" s="41" t="n"/>
      <c r="T14" s="41" t="n"/>
    </row>
    <row r="15" ht="16" customHeight="1">
      <c r="A15" s="40" t="n">
        <v>10</v>
      </c>
      <c r="B15" s="34">
        <f>ROUNDUP(A15/7,0)</f>
        <v/>
      </c>
      <c r="C15" s="41" t="n"/>
      <c r="D15" s="41" t="n"/>
      <c r="E15" s="41" t="n"/>
      <c r="F15" s="41" t="n"/>
      <c r="G15" s="41" t="n"/>
      <c r="H15" s="41" t="n"/>
      <c r="I15" s="42" t="n"/>
      <c r="J15" s="42" t="n"/>
      <c r="K15" s="42" t="n"/>
      <c r="L15" s="42" t="n"/>
      <c r="M15" s="42" t="n"/>
      <c r="N15" s="42" t="n"/>
      <c r="O15" s="41" t="n"/>
      <c r="P15" s="41" t="n"/>
      <c r="Q15" s="41" t="n"/>
      <c r="R15" s="41" t="n"/>
      <c r="S15" s="41" t="n"/>
      <c r="T15" s="41" t="n"/>
    </row>
    <row r="16" ht="16" customHeight="1">
      <c r="A16" s="40" t="n">
        <v>11</v>
      </c>
      <c r="B16" s="34">
        <f>ROUNDUP(A16/7,0)</f>
        <v/>
      </c>
      <c r="C16" s="41" t="n"/>
      <c r="D16" s="41" t="n"/>
      <c r="E16" s="41" t="n"/>
      <c r="F16" s="41" t="n"/>
      <c r="G16" s="41" t="n"/>
      <c r="H16" s="41" t="n"/>
      <c r="I16" s="42" t="n"/>
      <c r="J16" s="42" t="n"/>
      <c r="K16" s="42" t="n"/>
      <c r="L16" s="42" t="n"/>
      <c r="M16" s="42" t="n"/>
      <c r="N16" s="42" t="n"/>
      <c r="O16" s="41" t="n"/>
      <c r="P16" s="41" t="n"/>
      <c r="Q16" s="41" t="n"/>
      <c r="R16" s="41" t="n"/>
      <c r="S16" s="41" t="n"/>
      <c r="T16" s="41" t="n"/>
    </row>
    <row r="17" ht="16" customHeight="1">
      <c r="A17" s="40" t="n">
        <v>12</v>
      </c>
      <c r="B17" s="34">
        <f>ROUNDUP(A17/7,0)</f>
        <v/>
      </c>
      <c r="C17" s="41" t="n"/>
      <c r="D17" s="41" t="n"/>
      <c r="E17" s="41" t="n"/>
      <c r="F17" s="41" t="n"/>
      <c r="G17" s="41" t="n"/>
      <c r="H17" s="41" t="n"/>
      <c r="I17" s="42" t="n"/>
      <c r="J17" s="42" t="n"/>
      <c r="K17" s="42" t="n"/>
      <c r="L17" s="42" t="n"/>
      <c r="M17" s="42" t="n"/>
      <c r="N17" s="42" t="n"/>
      <c r="O17" s="41" t="n"/>
      <c r="P17" s="41" t="n"/>
      <c r="Q17" s="41" t="n"/>
      <c r="R17" s="41" t="n"/>
      <c r="S17" s="41" t="n"/>
      <c r="T17" s="41" t="n"/>
    </row>
    <row r="18" ht="16" customHeight="1">
      <c r="A18" s="40" t="n">
        <v>13</v>
      </c>
      <c r="B18" s="34">
        <f>ROUNDUP(A18/7,0)</f>
        <v/>
      </c>
      <c r="C18" s="41" t="n"/>
      <c r="D18" s="41" t="n"/>
      <c r="E18" s="41" t="n"/>
      <c r="F18" s="41" t="n"/>
      <c r="G18" s="41" t="n"/>
      <c r="H18" s="41" t="n"/>
      <c r="I18" s="42" t="n"/>
      <c r="J18" s="42" t="n"/>
      <c r="K18" s="42" t="n"/>
      <c r="L18" s="42" t="n"/>
      <c r="M18" s="42" t="n"/>
      <c r="N18" s="42" t="n"/>
      <c r="O18" s="41" t="n"/>
      <c r="P18" s="41" t="n"/>
      <c r="Q18" s="41" t="n"/>
      <c r="R18" s="41" t="n"/>
      <c r="S18" s="41" t="n"/>
      <c r="T18" s="41" t="n"/>
    </row>
    <row r="19" ht="16" customHeight="1">
      <c r="A19" s="40" t="n">
        <v>14</v>
      </c>
      <c r="B19" s="34">
        <f>ROUNDUP(A19/7,0)</f>
        <v/>
      </c>
      <c r="C19" s="41" t="n"/>
      <c r="D19" s="41" t="n"/>
      <c r="E19" s="41" t="n"/>
      <c r="F19" s="41" t="n"/>
      <c r="G19" s="41" t="n"/>
      <c r="H19" s="41" t="n"/>
      <c r="I19" s="42" t="n"/>
      <c r="J19" s="42" t="n"/>
      <c r="K19" s="42" t="n"/>
      <c r="L19" s="42" t="n"/>
      <c r="M19" s="42" t="n"/>
      <c r="N19" s="42" t="n"/>
      <c r="O19" s="41" t="n"/>
      <c r="P19" s="41" t="n"/>
      <c r="Q19" s="41" t="n"/>
      <c r="R19" s="41" t="n"/>
      <c r="S19" s="41" t="n"/>
      <c r="T19" s="41" t="n"/>
    </row>
    <row r="20" ht="16" customHeight="1">
      <c r="A20" s="40" t="n">
        <v>15</v>
      </c>
      <c r="B20" s="34">
        <f>ROUNDUP(A20/7,0)</f>
        <v/>
      </c>
      <c r="C20" s="41" t="n"/>
      <c r="D20" s="41" t="n"/>
      <c r="E20" s="41" t="n"/>
      <c r="F20" s="41" t="n"/>
      <c r="G20" s="41" t="n"/>
      <c r="H20" s="41" t="n"/>
      <c r="I20" s="42" t="n"/>
      <c r="J20" s="42" t="n"/>
      <c r="K20" s="42" t="n"/>
      <c r="L20" s="42" t="n"/>
      <c r="M20" s="42" t="n"/>
      <c r="N20" s="42" t="n"/>
      <c r="O20" s="41" t="n"/>
      <c r="P20" s="41" t="n"/>
      <c r="Q20" s="41" t="n"/>
      <c r="R20" s="41" t="n"/>
      <c r="S20" s="41" t="n"/>
      <c r="T20" s="41" t="n"/>
    </row>
    <row r="21" ht="16" customHeight="1">
      <c r="A21" s="40" t="n">
        <v>16</v>
      </c>
      <c r="B21" s="34">
        <f>ROUNDUP(A21/7,0)</f>
        <v/>
      </c>
      <c r="C21" s="41" t="n"/>
      <c r="D21" s="41" t="n"/>
      <c r="E21" s="41" t="n"/>
      <c r="F21" s="41" t="n"/>
      <c r="G21" s="41" t="n"/>
      <c r="H21" s="41" t="n"/>
      <c r="I21" s="42" t="n"/>
      <c r="J21" s="42" t="n"/>
      <c r="K21" s="42" t="n"/>
      <c r="L21" s="42" t="n"/>
      <c r="M21" s="42" t="n"/>
      <c r="N21" s="42" t="n"/>
      <c r="O21" s="41" t="n"/>
      <c r="P21" s="41" t="n"/>
      <c r="Q21" s="41" t="n"/>
      <c r="R21" s="41" t="n"/>
      <c r="S21" s="41" t="n"/>
      <c r="T21" s="41" t="n"/>
    </row>
    <row r="22" ht="16" customHeight="1">
      <c r="A22" s="40" t="n">
        <v>17</v>
      </c>
      <c r="B22" s="34">
        <f>ROUNDUP(A22/7,0)</f>
        <v/>
      </c>
      <c r="C22" s="41" t="n"/>
      <c r="D22" s="41" t="n"/>
      <c r="E22" s="41" t="n"/>
      <c r="F22" s="41" t="n"/>
      <c r="G22" s="41" t="n"/>
      <c r="H22" s="41" t="n"/>
      <c r="I22" s="42" t="n"/>
      <c r="J22" s="42" t="n"/>
      <c r="K22" s="42" t="n"/>
      <c r="L22" s="42" t="n"/>
      <c r="M22" s="42" t="n"/>
      <c r="N22" s="42" t="n"/>
      <c r="O22" s="41" t="n"/>
      <c r="P22" s="41" t="n"/>
      <c r="Q22" s="41" t="n"/>
      <c r="R22" s="41" t="n"/>
      <c r="S22" s="41" t="n"/>
      <c r="T22" s="41" t="n"/>
    </row>
    <row r="23" ht="16" customHeight="1">
      <c r="A23" s="40" t="n">
        <v>18</v>
      </c>
      <c r="B23" s="34">
        <f>ROUNDUP(A23/7,0)</f>
        <v/>
      </c>
      <c r="C23" s="41" t="n"/>
      <c r="D23" s="41" t="n"/>
      <c r="E23" s="41" t="n"/>
      <c r="F23" s="41" t="n"/>
      <c r="G23" s="41" t="n"/>
      <c r="H23" s="41" t="n"/>
      <c r="I23" s="42" t="n"/>
      <c r="J23" s="42" t="n"/>
      <c r="K23" s="42" t="n"/>
      <c r="L23" s="42" t="n"/>
      <c r="M23" s="42" t="n"/>
      <c r="N23" s="42" t="n"/>
      <c r="O23" s="41" t="n"/>
      <c r="P23" s="41" t="n"/>
      <c r="Q23" s="41" t="n"/>
      <c r="R23" s="41" t="n"/>
      <c r="S23" s="41" t="n"/>
      <c r="T23" s="41" t="n"/>
    </row>
    <row r="24" ht="16" customHeight="1">
      <c r="A24" s="40" t="n">
        <v>19</v>
      </c>
      <c r="B24" s="34">
        <f>ROUNDUP(A24/7,0)</f>
        <v/>
      </c>
      <c r="C24" s="41" t="n"/>
      <c r="D24" s="41" t="n"/>
      <c r="E24" s="41" t="n"/>
      <c r="F24" s="41" t="n"/>
      <c r="G24" s="41" t="n"/>
      <c r="H24" s="41" t="n"/>
      <c r="I24" s="42" t="n"/>
      <c r="J24" s="42" t="n"/>
      <c r="K24" s="42" t="n"/>
      <c r="L24" s="42" t="n"/>
      <c r="M24" s="42" t="n"/>
      <c r="N24" s="42" t="n"/>
      <c r="O24" s="41" t="n"/>
      <c r="P24" s="41" t="n"/>
      <c r="Q24" s="41" t="n"/>
      <c r="R24" s="41" t="n"/>
      <c r="S24" s="41" t="n"/>
      <c r="T24" s="41" t="n"/>
    </row>
    <row r="25" ht="16" customHeight="1">
      <c r="A25" s="40" t="n">
        <v>20</v>
      </c>
      <c r="B25" s="34">
        <f>ROUNDUP(A25/7,0)</f>
        <v/>
      </c>
      <c r="C25" s="41" t="n"/>
      <c r="D25" s="41" t="n"/>
      <c r="E25" s="41" t="n"/>
      <c r="F25" s="41" t="n"/>
      <c r="G25" s="41" t="n"/>
      <c r="H25" s="41" t="n"/>
      <c r="I25" s="42" t="n"/>
      <c r="J25" s="42" t="n"/>
      <c r="K25" s="42" t="n"/>
      <c r="L25" s="42" t="n"/>
      <c r="M25" s="42" t="n"/>
      <c r="N25" s="42" t="n"/>
      <c r="O25" s="41" t="n"/>
      <c r="P25" s="41" t="n"/>
      <c r="Q25" s="41" t="n"/>
      <c r="R25" s="41" t="n"/>
      <c r="S25" s="41" t="n"/>
      <c r="T25" s="41" t="n"/>
    </row>
    <row r="26" ht="16" customHeight="1">
      <c r="A26" s="40" t="n">
        <v>21</v>
      </c>
      <c r="B26" s="34">
        <f>ROUNDUP(A26/7,0)</f>
        <v/>
      </c>
      <c r="C26" s="41" t="n"/>
      <c r="D26" s="41" t="n"/>
      <c r="E26" s="41" t="n"/>
      <c r="F26" s="41" t="n"/>
      <c r="G26" s="41" t="n"/>
      <c r="H26" s="41" t="n"/>
      <c r="I26" s="42" t="n"/>
      <c r="J26" s="42" t="n"/>
      <c r="K26" s="42" t="n"/>
      <c r="L26" s="42" t="n"/>
      <c r="M26" s="42" t="n"/>
      <c r="N26" s="42" t="n"/>
      <c r="O26" s="41" t="n"/>
      <c r="P26" s="41" t="n"/>
      <c r="Q26" s="41" t="n"/>
      <c r="R26" s="41" t="n"/>
      <c r="S26" s="41" t="n"/>
      <c r="T26" s="41" t="n"/>
    </row>
    <row r="27" ht="16" customHeight="1">
      <c r="A27" s="40" t="n">
        <v>22</v>
      </c>
      <c r="B27" s="34">
        <f>ROUNDUP(A27/7,0)</f>
        <v/>
      </c>
      <c r="C27" s="41" t="n"/>
      <c r="D27" s="41" t="n"/>
      <c r="E27" s="41" t="n"/>
      <c r="F27" s="41" t="n"/>
      <c r="G27" s="41" t="n"/>
      <c r="H27" s="41" t="n"/>
      <c r="I27" s="42" t="n"/>
      <c r="J27" s="42" t="n"/>
      <c r="K27" s="42" t="n"/>
      <c r="L27" s="42" t="n"/>
      <c r="M27" s="42" t="n"/>
      <c r="N27" s="42" t="n"/>
      <c r="O27" s="41" t="n"/>
      <c r="P27" s="41" t="n"/>
      <c r="Q27" s="41" t="n"/>
      <c r="R27" s="41" t="n"/>
      <c r="S27" s="41" t="n"/>
      <c r="T27" s="41" t="n"/>
    </row>
    <row r="28" ht="16" customHeight="1">
      <c r="A28" s="40" t="n">
        <v>23</v>
      </c>
      <c r="B28" s="34">
        <f>ROUNDUP(A28/7,0)</f>
        <v/>
      </c>
      <c r="C28" s="41" t="n"/>
      <c r="D28" s="41" t="n"/>
      <c r="E28" s="41" t="n"/>
      <c r="F28" s="41" t="n"/>
      <c r="G28" s="41" t="n"/>
      <c r="H28" s="41" t="n"/>
      <c r="I28" s="42" t="n"/>
      <c r="J28" s="42" t="n"/>
      <c r="K28" s="42" t="n"/>
      <c r="L28" s="42" t="n"/>
      <c r="M28" s="42" t="n"/>
      <c r="N28" s="42" t="n"/>
      <c r="O28" s="41" t="n"/>
      <c r="P28" s="41" t="n"/>
      <c r="Q28" s="41" t="n"/>
      <c r="R28" s="41" t="n"/>
      <c r="S28" s="41" t="n"/>
      <c r="T28" s="41" t="n"/>
    </row>
    <row r="29" ht="16" customHeight="1">
      <c r="A29" s="40" t="n">
        <v>24</v>
      </c>
      <c r="B29" s="34">
        <f>ROUNDUP(A29/7,0)</f>
        <v/>
      </c>
      <c r="C29" s="41" t="n"/>
      <c r="D29" s="41" t="n"/>
      <c r="E29" s="41" t="n"/>
      <c r="F29" s="41" t="n"/>
      <c r="G29" s="41" t="n"/>
      <c r="H29" s="41" t="n"/>
      <c r="I29" s="42" t="n"/>
      <c r="J29" s="42" t="n"/>
      <c r="K29" s="42" t="n"/>
      <c r="L29" s="42" t="n"/>
      <c r="M29" s="42" t="n"/>
      <c r="N29" s="42" t="n"/>
      <c r="O29" s="41" t="n"/>
      <c r="P29" s="41" t="n"/>
      <c r="Q29" s="41" t="n"/>
      <c r="R29" s="41" t="n"/>
      <c r="S29" s="41" t="n"/>
      <c r="T29" s="41" t="n"/>
    </row>
    <row r="30" ht="16" customHeight="1">
      <c r="A30" s="40" t="n">
        <v>25</v>
      </c>
      <c r="B30" s="34">
        <f>ROUNDUP(A30/7,0)</f>
        <v/>
      </c>
      <c r="C30" s="41" t="n"/>
      <c r="D30" s="41" t="n"/>
      <c r="E30" s="41" t="n"/>
      <c r="F30" s="41" t="n"/>
      <c r="G30" s="41" t="n"/>
      <c r="H30" s="41" t="n"/>
      <c r="I30" s="42" t="n"/>
      <c r="J30" s="42" t="n"/>
      <c r="K30" s="42" t="n"/>
      <c r="L30" s="42" t="n"/>
      <c r="M30" s="42" t="n"/>
      <c r="N30" s="42" t="n"/>
      <c r="O30" s="41" t="n"/>
      <c r="P30" s="41" t="n"/>
      <c r="Q30" s="41" t="n"/>
      <c r="R30" s="41" t="n"/>
      <c r="S30" s="41" t="n"/>
      <c r="T30" s="41" t="n"/>
    </row>
    <row r="31" ht="16" customHeight="1">
      <c r="A31" s="40" t="n">
        <v>26</v>
      </c>
      <c r="B31" s="34">
        <f>ROUNDUP(A31/7,0)</f>
        <v/>
      </c>
      <c r="C31" s="41" t="n"/>
      <c r="D31" s="41" t="n"/>
      <c r="E31" s="41" t="n"/>
      <c r="F31" s="41" t="n"/>
      <c r="G31" s="41" t="n"/>
      <c r="H31" s="41" t="n"/>
      <c r="I31" s="42" t="n"/>
      <c r="J31" s="42" t="n"/>
      <c r="K31" s="42" t="n"/>
      <c r="L31" s="42" t="n"/>
      <c r="M31" s="42" t="n"/>
      <c r="N31" s="42" t="n"/>
      <c r="O31" s="41" t="n"/>
      <c r="P31" s="41" t="n"/>
      <c r="Q31" s="41" t="n"/>
      <c r="R31" s="41" t="n"/>
      <c r="S31" s="41" t="n"/>
      <c r="T31" s="41" t="n"/>
    </row>
    <row r="32" ht="16" customHeight="1">
      <c r="A32" s="40" t="n">
        <v>27</v>
      </c>
      <c r="B32" s="34">
        <f>ROUNDUP(A32/7,0)</f>
        <v/>
      </c>
      <c r="C32" s="41" t="n"/>
      <c r="D32" s="41" t="n"/>
      <c r="E32" s="41" t="n"/>
      <c r="F32" s="41" t="n"/>
      <c r="G32" s="41" t="n"/>
      <c r="H32" s="41" t="n"/>
      <c r="I32" s="42" t="n"/>
      <c r="J32" s="42" t="n"/>
      <c r="K32" s="42" t="n"/>
      <c r="L32" s="42" t="n"/>
      <c r="M32" s="42" t="n"/>
      <c r="N32" s="42" t="n"/>
      <c r="O32" s="41" t="n"/>
      <c r="P32" s="41" t="n"/>
      <c r="Q32" s="41" t="n"/>
      <c r="R32" s="41" t="n"/>
      <c r="S32" s="41" t="n"/>
      <c r="T32" s="41" t="n"/>
    </row>
    <row r="33" ht="16" customHeight="1">
      <c r="A33" s="40" t="n">
        <v>28</v>
      </c>
      <c r="B33" s="34">
        <f>ROUNDUP(A33/7,0)</f>
        <v/>
      </c>
      <c r="C33" s="41" t="n"/>
      <c r="D33" s="41" t="n"/>
      <c r="E33" s="41" t="n"/>
      <c r="F33" s="41" t="n"/>
      <c r="G33" s="41" t="n"/>
      <c r="H33" s="41" t="n"/>
      <c r="I33" s="42" t="n"/>
      <c r="J33" s="42" t="n"/>
      <c r="K33" s="42" t="n"/>
      <c r="L33" s="42" t="n"/>
      <c r="M33" s="42" t="n"/>
      <c r="N33" s="42" t="n"/>
      <c r="O33" s="41" t="n"/>
      <c r="P33" s="41" t="n"/>
      <c r="Q33" s="41" t="n"/>
      <c r="R33" s="41" t="n"/>
      <c r="S33" s="41" t="n"/>
      <c r="T33" s="41" t="n"/>
    </row>
    <row r="34" ht="16" customHeight="1">
      <c r="A34" s="40" t="n">
        <v>29</v>
      </c>
      <c r="B34" s="34">
        <f>ROUNDUP(A34/7,0)</f>
        <v/>
      </c>
      <c r="C34" s="41" t="n"/>
      <c r="D34" s="41" t="n"/>
      <c r="E34" s="41" t="n"/>
      <c r="F34" s="41" t="n"/>
      <c r="G34" s="41" t="n"/>
      <c r="H34" s="41" t="n"/>
      <c r="I34" s="42" t="n"/>
      <c r="J34" s="42" t="n"/>
      <c r="K34" s="42" t="n"/>
      <c r="L34" s="42" t="n"/>
      <c r="M34" s="42" t="n"/>
      <c r="N34" s="42" t="n"/>
      <c r="O34" s="41" t="n"/>
      <c r="P34" s="41" t="n"/>
      <c r="Q34" s="41" t="n"/>
      <c r="R34" s="41" t="n"/>
      <c r="S34" s="41" t="n"/>
      <c r="T34" s="41" t="n"/>
    </row>
    <row r="35" ht="16" customHeight="1">
      <c r="A35" s="40" t="n">
        <v>30</v>
      </c>
      <c r="B35" s="34">
        <f>ROUNDUP(A35/7,0)</f>
        <v/>
      </c>
      <c r="C35" s="41" t="n"/>
      <c r="D35" s="41" t="n"/>
      <c r="E35" s="41" t="n"/>
      <c r="F35" s="41" t="n"/>
      <c r="G35" s="41" t="n"/>
      <c r="H35" s="41" t="n"/>
      <c r="I35" s="42" t="n"/>
      <c r="J35" s="42" t="n"/>
      <c r="K35" s="42" t="n"/>
      <c r="L35" s="42" t="n"/>
      <c r="M35" s="42" t="n"/>
      <c r="N35" s="42" t="n"/>
      <c r="O35" s="41" t="n"/>
      <c r="P35" s="41" t="n"/>
      <c r="Q35" s="41" t="n"/>
      <c r="R35" s="41" t="n"/>
      <c r="S35" s="41" t="n"/>
      <c r="T35" s="41" t="n"/>
    </row>
    <row r="36" ht="16" customHeight="1">
      <c r="A36" s="40" t="n">
        <v>31</v>
      </c>
      <c r="B36" s="34">
        <f>ROUNDUP(A36/7,0)</f>
        <v/>
      </c>
      <c r="C36" s="41" t="n"/>
      <c r="D36" s="41" t="n"/>
      <c r="E36" s="41" t="n"/>
      <c r="F36" s="41" t="n"/>
      <c r="G36" s="41" t="n"/>
      <c r="H36" s="41" t="n"/>
      <c r="I36" s="42" t="n"/>
      <c r="J36" s="42" t="n"/>
      <c r="K36" s="42" t="n"/>
      <c r="L36" s="42" t="n"/>
      <c r="M36" s="42" t="n"/>
      <c r="N36" s="42" t="n"/>
      <c r="O36" s="41" t="n"/>
      <c r="P36" s="41" t="n"/>
      <c r="Q36" s="41" t="n"/>
      <c r="R36" s="41" t="n"/>
      <c r="S36" s="41" t="n"/>
      <c r="T36" s="41" t="n"/>
    </row>
    <row r="37">
      <c r="A37" s="30" t="inlineStr">
        <is>
          <t>TOTAL</t>
        </is>
      </c>
      <c r="B37" s="22" t="n"/>
      <c r="C37" s="43">
        <f>SUM(C6:C36)</f>
        <v/>
      </c>
      <c r="D37" s="43">
        <f>SUM(D6:D36)</f>
        <v/>
      </c>
      <c r="E37" s="43">
        <f>SUM(E6:E36)</f>
        <v/>
      </c>
      <c r="F37" s="43">
        <f>SUM(F6:F36)</f>
        <v/>
      </c>
      <c r="G37" s="43">
        <f>SUM(G6:G36)</f>
        <v/>
      </c>
      <c r="H37" s="43">
        <f>SUM(H6:H36)</f>
        <v/>
      </c>
      <c r="I37" s="43">
        <f>SUM(I6:I36)</f>
        <v/>
      </c>
      <c r="J37" s="43">
        <f>SUM(J6:J36)</f>
        <v/>
      </c>
      <c r="K37" s="43">
        <f>SUM(K6:K36)</f>
        <v/>
      </c>
      <c r="L37" s="43">
        <f>SUM(L6:L36)</f>
        <v/>
      </c>
      <c r="M37" s="43">
        <f>SUM(M6:M36)</f>
        <v/>
      </c>
      <c r="N37" s="43">
        <f>SUM(N6:N36)</f>
        <v/>
      </c>
      <c r="O37" s="43">
        <f>SUM(O6:O36)</f>
        <v/>
      </c>
      <c r="P37" s="43">
        <f>SUM(P6:P36)</f>
        <v/>
      </c>
      <c r="Q37" s="43">
        <f>SUM(Q6:Q36)</f>
        <v/>
      </c>
      <c r="R37" s="43">
        <f>SUM(R6:R36)</f>
        <v/>
      </c>
      <c r="S37" s="43">
        <f>SUM(S6:S36)</f>
        <v/>
      </c>
      <c r="T37" s="43">
        <f>SUM(T6:T36)</f>
        <v/>
      </c>
    </row>
    <row r="38">
      <c r="A38" s="44" t="inlineStr">
        <is>
          <t>avg/active day</t>
        </is>
      </c>
      <c r="B38" s="10" t="n"/>
      <c r="C38" s="45">
        <f>IFERROR(ROUND(SUM(C6:C36)/MAX(COUNTIF(C6:C36,"&gt;0"),1),1),0)</f>
        <v/>
      </c>
      <c r="D38" s="45">
        <f>IFERROR(ROUND(SUM(D6:D36)/MAX(COUNTIF(C6:C36,"&gt;0"),1),1),0)</f>
        <v/>
      </c>
      <c r="E38" s="45">
        <f>IFERROR(ROUND(SUM(E6:E36)/MAX(COUNTIF(C6:C36,"&gt;0"),1),1),0)</f>
        <v/>
      </c>
      <c r="F38" s="45">
        <f>IFERROR(ROUND(SUM(F6:F36)/MAX(COUNTIF(C6:C36,"&gt;0"),1),1),0)</f>
        <v/>
      </c>
      <c r="G38" s="45">
        <f>IFERROR(ROUND(SUM(G6:G36)/MAX(COUNTIF(C6:C36,"&gt;0"),1),1),0)</f>
        <v/>
      </c>
      <c r="H38" s="45">
        <f>IFERROR(ROUND(SUM(H6:H36)/MAX(COUNTIF(C6:C36,"&gt;0"),1),1),0)</f>
        <v/>
      </c>
      <c r="I38" s="45">
        <f>IFERROR(ROUND(SUM(I6:I36)/MAX(COUNTIF(I6:I36,"&gt;0"),1),1),0)</f>
        <v/>
      </c>
      <c r="J38" s="45">
        <f>IFERROR(ROUND(SUM(J6:J36)/MAX(COUNTIF(I6:I36,"&gt;0"),1),1),0)</f>
        <v/>
      </c>
      <c r="K38" s="45">
        <f>IFERROR(ROUND(SUM(K6:K36)/MAX(COUNTIF(I6:I36,"&gt;0"),1),1),0)</f>
        <v/>
      </c>
      <c r="L38" s="45">
        <f>IFERROR(ROUND(SUM(L6:L36)/MAX(COUNTIF(I6:I36,"&gt;0"),1),1),0)</f>
        <v/>
      </c>
      <c r="M38" s="45">
        <f>IFERROR(ROUND(SUM(M6:M36)/MAX(COUNTIF(I6:I36,"&gt;0"),1),1),0)</f>
        <v/>
      </c>
      <c r="N38" s="45">
        <f>IFERROR(ROUND(SUM(N6:N36)/MAX(COUNTIF(I6:I36,"&gt;0"),1),1),0)</f>
        <v/>
      </c>
      <c r="O38" s="45">
        <f>IFERROR(ROUND(SUM(O6:O36)/MAX(COUNTIF(O6:O36,"&gt;0"),1),1),0)</f>
        <v/>
      </c>
      <c r="P38" s="45">
        <f>IFERROR(ROUND(SUM(P6:P36)/MAX(COUNTIF(O6:O36,"&gt;0"),1),1),0)</f>
        <v/>
      </c>
      <c r="Q38" s="45">
        <f>IFERROR(ROUND(SUM(Q6:Q36)/MAX(COUNTIF(O6:O36,"&gt;0"),1),1),0)</f>
        <v/>
      </c>
      <c r="R38" s="45">
        <f>IFERROR(ROUND(SUM(R6:R36)/MAX(COUNTIF(O6:O36,"&gt;0"),1),1),0)</f>
        <v/>
      </c>
      <c r="S38" s="45">
        <f>IFERROR(ROUND(SUM(S6:S36)/MAX(COUNTIF(O6:O36,"&gt;0"),1),1),0)</f>
        <v/>
      </c>
      <c r="T38" s="45">
        <f>IFERROR(ROUND(SUM(T6:T36)/MAX(COUNTIF(O6:O36,"&gt;0"),1),1),0)</f>
        <v/>
      </c>
    </row>
  </sheetData>
  <mergeCells count="8">
    <mergeCell ref="A1:T1"/>
    <mergeCell ref="A38:B38"/>
    <mergeCell ref="B4:B5"/>
    <mergeCell ref="A4:A5"/>
    <mergeCell ref="O4:T4"/>
    <mergeCell ref="C4:H4"/>
    <mergeCell ref="A2:T2"/>
    <mergeCell ref="I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2026-07-05T23:52:43Z</dcterms:created>
  <dcterms:modified xmlns:dcterms="http://purl.org/dc/terms/" xmlns:xsi="http://www.w3.org/2001/XMLSchema-instance" xsi:type="dcterms:W3CDTF">2026-07-05T23:52:43Z</dcterms:modified>
</cp:coreProperties>
</file>