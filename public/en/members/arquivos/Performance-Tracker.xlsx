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unnel Dashboard" sheetId="2" state="visible" r:id="rId2"/>
    <sheet xmlns:r="http://schemas.openxmlformats.org/officeDocument/2006/relationships" name="Daily Outbound" sheetId="3" state="visible" r:id="rId3"/>
    <sheet xmlns:r="http://schemas.openxmlformats.org/officeDocument/2006/relationships" name="Daily Inb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E8430F"/>
      <sz val="10"/>
    </font>
    <font>
      <name val="Arial"/>
      <b val="1"/>
      <color rgb="00E8430F"/>
      <sz val="11"/>
    </font>
    <font>
      <name val="Arial"/>
      <color rgb="002E2E33"/>
      <sz val="10"/>
    </font>
    <font>
      <name val="Arial"/>
      <b val="1"/>
      <color rgb="002E2E33"/>
      <sz val="10"/>
    </font>
    <font>
      <name val="Arial"/>
      <color rgb="006B6B72"/>
      <sz val="8"/>
    </font>
    <font>
      <name val="Arial"/>
      <b val="1"/>
      <color rgb="00FFFFFF"/>
      <sz val="9"/>
    </font>
    <font>
      <name val="Arial"/>
      <color rgb="006B6B72"/>
      <sz val="10"/>
    </font>
    <font>
      <name val="Arial"/>
      <b val="1"/>
      <color rgb="00FFFFFF"/>
      <sz val="10"/>
    </font>
    <font>
      <name val="Arial"/>
      <b val="1"/>
      <color rgb="002E2E33"/>
      <sz val="8"/>
    </font>
    <font>
      <name val="Arial"/>
      <b val="1"/>
      <color rgb="002E2E33"/>
      <sz val="9.5"/>
    </font>
    <font>
      <name val="Arial"/>
      <b val="1"/>
      <color rgb="001F4E79"/>
      <sz val="10"/>
    </font>
    <font>
      <name val="Arial"/>
      <b val="1"/>
      <color rgb="002E2E33"/>
      <sz val="9"/>
    </font>
    <font>
      <name val="Arial"/>
      <color rgb="006B6B72"/>
      <sz val="8.5"/>
    </font>
    <font>
      <name val="Arial"/>
      <b val="1"/>
      <color rgb="00FFFFFF"/>
      <sz val="9.5"/>
    </font>
  </fonts>
  <fills count="6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2E2E3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  <border>
      <left/>
      <right/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 style="thin">
        <color rgb="00D9D7D3"/>
      </bottom>
      <diagonal/>
    </border>
    <border>
      <left/>
      <right/>
      <top style="thin">
        <color rgb="00D9D7D3"/>
      </top>
      <bottom style="thin">
        <color rgb="00D9D7D3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 indent="1"/>
    </xf>
    <xf numFmtId="3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 indent="1"/>
    </xf>
    <xf numFmtId="165" fontId="3" fillId="0" borderId="1" applyAlignment="1" pivotButton="0" quotePrefix="0" xfId="0">
      <alignment horizontal="center" vertical="center"/>
    </xf>
    <xf numFmtId="165" fontId="13" fillId="5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wrapText="1" indent="1"/>
    </xf>
    <xf numFmtId="10" fontId="3" fillId="0" borderId="1" applyAlignment="1" pivotButton="0" quotePrefix="0" xfId="0">
      <alignment horizontal="center" vertical="center"/>
    </xf>
    <xf numFmtId="10" fontId="13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166" fontId="13" fillId="5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 indent="1"/>
    </xf>
    <xf numFmtId="166" fontId="3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6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B7E1CD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Sales Performance Tracker · Usual Digital</t>
        </is>
      </c>
    </row>
    <row r="2" ht="16" customHeight="1">
      <c r="A2" s="2" t="inlineStr">
        <is>
          <t>Log the day's numbers and the funnel compares you with the market benchmark, pointing where to attack.</t>
        </is>
      </c>
    </row>
    <row r="4" ht="20" customHeight="1">
      <c r="A4" s="3" t="inlineStr">
        <is>
          <t>HOW TO USE</t>
        </is>
      </c>
    </row>
    <row r="6" ht="30" customHeight="1">
      <c r="A6" s="4" t="inlineStr">
        <is>
          <t>1.</t>
        </is>
      </c>
      <c r="B6" s="5" t="inlineStr">
        <is>
          <t>In Google Sheets: File &gt; Make a copy. Use one sheet per month (duplicate it each month).</t>
        </is>
      </c>
    </row>
    <row r="7" ht="30" customHeight="1">
      <c r="A7" s="4" t="inlineStr">
        <is>
          <t>2.</t>
        </is>
      </c>
      <c r="B7" s="5" t="inlineStr">
        <is>
          <t>Every day, fill in the Daily Outbound and Daily Inbound tabs with the day's numbers. That's it.</t>
        </is>
      </c>
    </row>
    <row r="8" ht="30" customHeight="1">
      <c r="A8" s="4" t="inlineStr">
        <is>
          <t>3.</t>
        </is>
      </c>
      <c r="B8" s="5" t="inlineStr">
        <is>
          <t>The Funnel Dashboard calculates your rates and compares them to the market benchmark: ✔ above, ▲ below (that's where you attack).</t>
        </is>
      </c>
    </row>
    <row r="9" ht="30" customHeight="1">
      <c r="A9" s="4" t="inlineStr">
        <is>
          <t>4.</t>
        </is>
      </c>
      <c r="B9" s="5" t="inlineStr">
        <is>
          <t>The market benchmarks are in the yellow cells of the Dashboard. Adjust them to your segment's reality.</t>
        </is>
      </c>
    </row>
    <row r="10" ht="30" customHeight="1">
      <c r="A10" s="4" t="inlineStr">
        <is>
          <t>5.</t>
        </is>
      </c>
      <c r="B10" s="5" t="inlineStr">
        <is>
          <t>In the weekly meeting, open the Dashboard: the stage with ▲ defines the week's training.</t>
        </is>
      </c>
    </row>
    <row r="12" ht="20" customHeight="1">
      <c r="A12" s="3" t="inlineStr">
        <is>
          <t>BENCHMARKS USED (B2B MARKET)</t>
        </is>
      </c>
    </row>
    <row r="14" ht="26" customHeight="1">
      <c r="A14" s="6" t="inlineStr">
        <is>
          <t>Outbound</t>
        </is>
      </c>
      <c r="C14" s="5" t="inlineStr">
        <is>
          <t>Connection 10% of outreach · Meeting 25% of connections · Show 70% · Proposal 60% · Sale 30% of proposals.</t>
        </is>
      </c>
    </row>
    <row r="15" ht="26" customHeight="1">
      <c r="A15" s="6" t="inlineStr">
        <is>
          <t>Inbound</t>
        </is>
      </c>
      <c r="C15" s="5" t="inlineStr">
        <is>
          <t>Response within 5 min: 90% · Qualification 40% · Meeting 50% of qualified · Show 70% · Proposal 60% · Sale 30%.</t>
        </is>
      </c>
    </row>
    <row r="16" ht="26" customHeight="1">
      <c r="A16" s="6" t="inlineStr">
        <is>
          <t>Activity</t>
        </is>
      </c>
      <c r="C16" s="5" t="inlineStr">
        <is>
          <t>Outbound: 50 outreach touches/working day per person. Inbound: replying in minutes multiplies conversion.</t>
        </is>
      </c>
    </row>
    <row r="18">
      <c r="A18" s="7" t="inlineStr">
        <is>
          <t>Usual Digital · High-performance sales structuring · By Gabriel Isidoro and Renan Paiva</t>
        </is>
      </c>
    </row>
  </sheetData>
  <mergeCells count="15">
    <mergeCell ref="A12:H12"/>
    <mergeCell ref="A4:H4"/>
    <mergeCell ref="B8:H8"/>
    <mergeCell ref="A16:B16"/>
    <mergeCell ref="C16:H16"/>
    <mergeCell ref="A15:B15"/>
    <mergeCell ref="B9:H9"/>
    <mergeCell ref="C14:H14"/>
    <mergeCell ref="A2:H2"/>
    <mergeCell ref="B6:H6"/>
    <mergeCell ref="A14:B14"/>
    <mergeCell ref="B7:H7"/>
    <mergeCell ref="A1:H1"/>
    <mergeCell ref="B10:H10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3" customWidth="1" min="5" max="5"/>
    <col width="13" customWidth="1" min="6" max="6"/>
    <col width="26" customWidth="1" min="7" max="7"/>
    <col width="26" customWidth="1" min="8" max="8"/>
  </cols>
  <sheetData>
    <row r="1" ht="30" customHeight="1">
      <c r="A1" s="1" t="inlineStr">
        <is>
          <t>Dashboard · Funnel vs Market Benchmark</t>
        </is>
      </c>
    </row>
    <row r="2" ht="16" customHeight="1">
      <c r="A2" s="2" t="inlineStr">
        <is>
          <t>All automatic from the daily logs. Yellow = editable benchmark. ▲ shows where to attack.</t>
        </is>
      </c>
    </row>
    <row r="4" ht="20" customHeight="1">
      <c r="A4" s="3" t="inlineStr">
        <is>
          <t>OUTBOUND (ACTIVE PROSPECTING) FUNNEL</t>
        </is>
      </c>
    </row>
    <row r="5" ht="24" customHeight="1">
      <c r="A5" s="8" t="inlineStr">
        <is>
          <t>Stage</t>
        </is>
      </c>
      <c r="B5" s="9" t="n"/>
      <c r="C5" s="8" t="inlineStr">
        <is>
          <t>Result</t>
        </is>
      </c>
      <c r="D5" s="8" t="inlineStr">
        <is>
          <t>Your rate</t>
        </is>
      </c>
      <c r="E5" s="10" t="inlineStr">
        <is>
          <t>Market benchmark</t>
        </is>
      </c>
      <c r="F5" s="8" t="inlineStr">
        <is>
          <t>Status</t>
        </is>
      </c>
      <c r="G5" s="8" t="inlineStr">
        <is>
          <t>Where to attack if you're below</t>
        </is>
      </c>
      <c r="H5" s="9" t="n"/>
    </row>
    <row r="6" ht="24" customHeight="1">
      <c r="A6" s="11" t="inlineStr">
        <is>
          <t>Outreach (calls + msgs)</t>
        </is>
      </c>
      <c r="B6" s="9" t="n"/>
      <c r="C6" s="12">
        <f>'Daily Outbound'!C37+'Daily Outbound'!D37</f>
        <v/>
      </c>
      <c r="D6" s="13" t="inlineStr">
        <is>
          <t>—</t>
        </is>
      </c>
      <c r="E6" s="14" t="n">
        <v>1000</v>
      </c>
      <c r="F6" s="15">
        <f>IF(C6&gt;=E6,"✔ on par","▲ attack here")</f>
        <v/>
      </c>
      <c r="G6" s="16" t="inlineStr">
        <is>
          <t>Volume is the base: 50 outreach touches per working day, per person.</t>
        </is>
      </c>
      <c r="H6" s="9" t="n"/>
    </row>
    <row r="7" ht="24" customHeight="1">
      <c r="A7" s="11" t="inlineStr">
        <is>
          <t>Connections / replies</t>
        </is>
      </c>
      <c r="B7" s="9" t="n"/>
      <c r="C7" s="12">
        <f>'Daily Outbound'!E37</f>
        <v/>
      </c>
      <c r="D7" s="17">
        <f>IFERROR(C7/C6,0)</f>
        <v/>
      </c>
      <c r="E7" s="18" t="n">
        <v>0.1</v>
      </c>
      <c r="F7" s="15">
        <f>IF(D7&gt;=E7,"✔ on par","▲ attack here")</f>
        <v/>
      </c>
      <c r="G7" s="16" t="inlineStr">
        <is>
          <t>Weak list or weak hook: revisit your ICP and first message.</t>
        </is>
      </c>
      <c r="H7" s="9" t="n"/>
    </row>
    <row r="8" ht="24" customHeight="1">
      <c r="A8" s="11" t="inlineStr">
        <is>
          <t>Meetings booked</t>
        </is>
      </c>
      <c r="B8" s="9" t="n"/>
      <c r="C8" s="12">
        <f>'Daily Outbound'!F37</f>
        <v/>
      </c>
      <c r="D8" s="17">
        <f>IFERROR(C8/C7,0)</f>
        <v/>
      </c>
      <c r="E8" s="18" t="n">
        <v>0.25</v>
      </c>
      <c r="F8" s="15">
        <f>IF(D8&gt;=E8,"✔ on par","▲ attack here")</f>
        <v/>
      </c>
      <c r="G8" s="16" t="inlineStr">
        <is>
          <t>Sell the meeting, not the product. Adjust the pitch and run the D1-D12 cadence.</t>
        </is>
      </c>
      <c r="H8" s="9" t="n"/>
    </row>
    <row r="9" ht="24" customHeight="1">
      <c r="A9" s="11" t="inlineStr">
        <is>
          <t>Meetings held (show)</t>
        </is>
      </c>
      <c r="B9" s="9" t="n"/>
      <c r="C9" s="12">
        <f>'Daily Outbound'!G37</f>
        <v/>
      </c>
      <c r="D9" s="17">
        <f>IFERROR(C9/C8,0)</f>
        <v/>
      </c>
      <c r="E9" s="18" t="n">
        <v>0.7</v>
      </c>
      <c r="F9" s="15">
        <f>IF(D9&gt;=E9,"✔ on par","▲ attack here")</f>
        <v/>
      </c>
      <c r="G9" s="16" t="inlineStr">
        <is>
          <t>Anti no-show: confirm the day before and remind 1h before.</t>
        </is>
      </c>
      <c r="H9" s="9" t="n"/>
    </row>
    <row r="10" ht="24" customHeight="1">
      <c r="A10" s="11" t="inlineStr">
        <is>
          <t>Proposals</t>
        </is>
      </c>
      <c r="B10" s="9" t="n"/>
      <c r="C10" s="12">
        <f>'Daily Outbound'!I37</f>
        <v/>
      </c>
      <c r="D10" s="17">
        <f>IFERROR(C10/C9,0)</f>
        <v/>
      </c>
      <c r="E10" s="18" t="n">
        <v>0.6</v>
      </c>
      <c r="F10" s="15">
        <f>IF(D10&gt;=E10,"✔ on par","▲ attack here")</f>
        <v/>
      </c>
      <c r="G10" s="16" t="inlineStr">
        <is>
          <t>A call with no proposal = shallow discovery. Use SPIN and lock the next step.</t>
        </is>
      </c>
      <c r="H10" s="9" t="n"/>
    </row>
    <row r="11" ht="24" customHeight="1">
      <c r="A11" s="11" t="inlineStr">
        <is>
          <t>Sales</t>
        </is>
      </c>
      <c r="B11" s="9" t="n"/>
      <c r="C11" s="12">
        <f>'Daily Outbound'!J37</f>
        <v/>
      </c>
      <c r="D11" s="17">
        <f>IFERROR(C11/C10,0)</f>
        <v/>
      </c>
      <c r="E11" s="18" t="n">
        <v>0.3</v>
      </c>
      <c r="F11" s="15">
        <f>IF(D11&gt;=E11,"✔ on par","▲ attack here")</f>
        <v/>
      </c>
      <c r="G11" s="16" t="inlineStr">
        <is>
          <t>Anchoring, urgency and objection handling. Log what stalled.</t>
        </is>
      </c>
      <c r="H11" s="9" t="n"/>
    </row>
    <row r="12" ht="22" customHeight="1">
      <c r="A12" s="19" t="inlineStr">
        <is>
          <t>OVERALL CONVERSION (sale ÷ outreach)</t>
        </is>
      </c>
      <c r="B12" s="9" t="n"/>
      <c r="C12" s="13" t="inlineStr">
        <is>
          <t>—</t>
        </is>
      </c>
      <c r="D12" s="20">
        <f>IFERROR(C11/C6,0)</f>
        <v/>
      </c>
      <c r="E12" s="21">
        <f>PRODUCT(E7:E11)</f>
        <v/>
      </c>
      <c r="F12" s="15">
        <f>IF(D12&gt;=E12,"✔ on par","▲ attack here")</f>
        <v/>
      </c>
      <c r="G12" s="16" t="inlineStr">
        <is>
          <t>End-to-end funnel conversion.</t>
        </is>
      </c>
      <c r="H12" s="9" t="n"/>
    </row>
    <row r="14" ht="20" customHeight="1">
      <c r="A14" s="3" t="inlineStr">
        <is>
          <t>INBOUND (INCOMING LEADS) FUNNEL</t>
        </is>
      </c>
    </row>
    <row r="15" ht="24" customHeight="1">
      <c r="A15" s="8" t="inlineStr">
        <is>
          <t>Stage</t>
        </is>
      </c>
      <c r="B15" s="9" t="n"/>
      <c r="C15" s="8" t="inlineStr">
        <is>
          <t>Result</t>
        </is>
      </c>
      <c r="D15" s="8" t="inlineStr">
        <is>
          <t>Your rate</t>
        </is>
      </c>
      <c r="E15" s="10" t="inlineStr">
        <is>
          <t>Market benchmark</t>
        </is>
      </c>
      <c r="F15" s="8" t="inlineStr">
        <is>
          <t>Status</t>
        </is>
      </c>
      <c r="G15" s="8" t="inlineStr">
        <is>
          <t>Where to attack if you're below</t>
        </is>
      </c>
      <c r="H15" s="9" t="n"/>
    </row>
    <row r="16" ht="24" customHeight="1">
      <c r="A16" s="11" t="inlineStr">
        <is>
          <t>Leads received</t>
        </is>
      </c>
      <c r="B16" s="9" t="n"/>
      <c r="C16" s="12">
        <f>'Daily Inbound'!C37</f>
        <v/>
      </c>
      <c r="D16" s="13" t="inlineStr">
        <is>
          <t>—</t>
        </is>
      </c>
      <c r="E16" s="14" t="n">
        <v>300</v>
      </c>
      <c r="F16" s="15">
        <f>IF(C16&gt;=E16,"✔ on par","▲ attack here")</f>
        <v/>
      </c>
      <c r="G16" s="16" t="inlineStr">
        <is>
          <t>Lead volume: traffic, content and acquisition channels.</t>
        </is>
      </c>
      <c r="H16" s="9" t="n"/>
    </row>
    <row r="17" ht="24" customHeight="1">
      <c r="A17" s="11" t="inlineStr">
        <is>
          <t>Answered within 5 min</t>
        </is>
      </c>
      <c r="B17" s="9" t="n"/>
      <c r="C17" s="12">
        <f>'Daily Inbound'!D37</f>
        <v/>
      </c>
      <c r="D17" s="17">
        <f>IFERROR(C17/C16,0)</f>
        <v/>
      </c>
      <c r="E17" s="18" t="n">
        <v>0.9</v>
      </c>
      <c r="F17" s="15">
        <f>IF(D17&gt;=E17,"✔ on par","▲ attack here")</f>
        <v/>
      </c>
      <c r="G17" s="16" t="inlineStr">
        <is>
          <t>Speed is conversion: a cold lead at 30 min has already gone cold.</t>
        </is>
      </c>
      <c r="H17" s="9" t="n"/>
    </row>
    <row r="18" ht="24" customHeight="1">
      <c r="A18" s="11" t="inlineStr">
        <is>
          <t>Qualified</t>
        </is>
      </c>
      <c r="B18" s="9" t="n"/>
      <c r="C18" s="12">
        <f>'Daily Inbound'!E37</f>
        <v/>
      </c>
      <c r="D18" s="17">
        <f>IFERROR(C18/C17,0)</f>
        <v/>
      </c>
      <c r="E18" s="18" t="n">
        <v>0.4</v>
      </c>
      <c r="F18" s="15">
        <f>IF(D18&gt;=E18,"✔ on par","▲ attack here")</f>
        <v/>
      </c>
      <c r="G18" s="16" t="inlineStr">
        <is>
          <t>Clear fit and pain criteria. A bad lead clogs the closer's calendar.</t>
        </is>
      </c>
      <c r="H18" s="9" t="n"/>
    </row>
    <row r="19" ht="24" customHeight="1">
      <c r="A19" s="11" t="inlineStr">
        <is>
          <t>Meetings booked</t>
        </is>
      </c>
      <c r="B19" s="9" t="n"/>
      <c r="C19" s="12">
        <f>'Daily Inbound'!F37</f>
        <v/>
      </c>
      <c r="D19" s="17">
        <f>IFERROR(C19/C18,0)</f>
        <v/>
      </c>
      <c r="E19" s="18" t="n">
        <v>0.5</v>
      </c>
      <c r="F19" s="15">
        <f>IF(D19&gt;=E19,"✔ on par","▲ attack here")</f>
        <v/>
      </c>
      <c r="G19" s="16" t="inlineStr">
        <is>
          <t>Booking script and cadence: 80% of bookings come from follow-up.</t>
        </is>
      </c>
      <c r="H19" s="9" t="n"/>
    </row>
    <row r="20" ht="24" customHeight="1">
      <c r="A20" s="11" t="inlineStr">
        <is>
          <t>Meetings held (show)</t>
        </is>
      </c>
      <c r="B20" s="9" t="n"/>
      <c r="C20" s="12">
        <f>'Daily Inbound'!G37</f>
        <v/>
      </c>
      <c r="D20" s="17">
        <f>IFERROR(C20/C19,0)</f>
        <v/>
      </c>
      <c r="E20" s="18" t="n">
        <v>0.7</v>
      </c>
      <c r="F20" s="15">
        <f>IF(D20&gt;=E20,"✔ on par","▲ attack here")</f>
        <v/>
      </c>
      <c r="G20" s="16" t="inlineStr">
        <is>
          <t>Anti no-show: confirm the day before and remind 1h before.</t>
        </is>
      </c>
      <c r="H20" s="9" t="n"/>
    </row>
    <row r="21" ht="24" customHeight="1">
      <c r="A21" s="11" t="inlineStr">
        <is>
          <t>Proposals</t>
        </is>
      </c>
      <c r="B21" s="9" t="n"/>
      <c r="C21" s="12">
        <f>'Daily Inbound'!I37</f>
        <v/>
      </c>
      <c r="D21" s="17">
        <f>IFERROR(C21/C20,0)</f>
        <v/>
      </c>
      <c r="E21" s="18" t="n">
        <v>0.6</v>
      </c>
      <c r="F21" s="15">
        <f>IF(D21&gt;=E21,"✔ on par","▲ attack here")</f>
        <v/>
      </c>
      <c r="G21" s="16" t="inlineStr">
        <is>
          <t>A call with no proposal = shallow discovery. Use SPIN and lock the next step.</t>
        </is>
      </c>
      <c r="H21" s="9" t="n"/>
    </row>
    <row r="22" ht="24" customHeight="1">
      <c r="A22" s="11" t="inlineStr">
        <is>
          <t>Sales</t>
        </is>
      </c>
      <c r="B22" s="9" t="n"/>
      <c r="C22" s="12">
        <f>'Daily Inbound'!J37</f>
        <v/>
      </c>
      <c r="D22" s="17">
        <f>IFERROR(C22/C21,0)</f>
        <v/>
      </c>
      <c r="E22" s="18" t="n">
        <v>0.3</v>
      </c>
      <c r="F22" s="15">
        <f>IF(D22&gt;=E22,"✔ on par","▲ attack here")</f>
        <v/>
      </c>
      <c r="G22" s="16" t="inlineStr">
        <is>
          <t>Anchoring, urgency and objection handling. Log what stalled.</t>
        </is>
      </c>
      <c r="H22" s="9" t="n"/>
    </row>
    <row r="23" ht="22" customHeight="1">
      <c r="A23" s="19" t="inlineStr">
        <is>
          <t>OVERALL CONVERSION (sale ÷ lead)</t>
        </is>
      </c>
      <c r="B23" s="9" t="n"/>
      <c r="C23" s="13" t="inlineStr">
        <is>
          <t>—</t>
        </is>
      </c>
      <c r="D23" s="20">
        <f>IFERROR(C22/C16,0)</f>
        <v/>
      </c>
      <c r="E23" s="21">
        <f>PRODUCT(E17:E22)</f>
        <v/>
      </c>
      <c r="F23" s="15">
        <f>IF(D23&gt;=E23,"✔ on par","▲ attack here")</f>
        <v/>
      </c>
      <c r="G23" s="16" t="inlineStr">
        <is>
          <t>End-to-end funnel conversion.</t>
        </is>
      </c>
      <c r="H23" s="9" t="n"/>
    </row>
    <row r="25" ht="20" customHeight="1">
      <c r="A25" s="3" t="inlineStr">
        <is>
          <t>MONTH REVENUE</t>
        </is>
      </c>
    </row>
    <row r="26">
      <c r="A26" s="8" t="inlineStr">
        <is>
          <t>Indicator</t>
        </is>
      </c>
      <c r="B26" s="9" t="n"/>
      <c r="C26" s="8" t="inlineStr">
        <is>
          <t>Value</t>
        </is>
      </c>
      <c r="D26" s="8" t="inlineStr"/>
      <c r="E26" s="22" t="n"/>
      <c r="F26" s="22" t="n"/>
      <c r="G26" s="22" t="n"/>
      <c r="H26" s="23" t="n"/>
    </row>
    <row r="27">
      <c r="A27" s="11" t="inlineStr">
        <is>
          <t>Average deal size (edit)</t>
        </is>
      </c>
      <c r="B27" s="9" t="n"/>
      <c r="C27" s="24" t="n">
        <v>5000</v>
      </c>
      <c r="D27" s="16" t="inlineStr">
        <is>
          <t>Average value of each sale.</t>
        </is>
      </c>
      <c r="E27" s="9" t="n"/>
      <c r="F27" s="9" t="n"/>
      <c r="G27" s="9" t="n"/>
      <c r="H27" s="9" t="n"/>
    </row>
    <row r="28">
      <c r="A28" s="11" t="inlineStr">
        <is>
          <t>Sales this month (out + in)</t>
        </is>
      </c>
      <c r="B28" s="9" t="n"/>
      <c r="C28" s="12">
        <f>'Daily Outbound'!J37+'Daily Inbound'!J37</f>
        <v/>
      </c>
      <c r="D28" s="16" t="inlineStr">
        <is>
          <t>Automatic sum of both funnels.</t>
        </is>
      </c>
      <c r="E28" s="9" t="n"/>
      <c r="F28" s="9" t="n"/>
      <c r="G28" s="9" t="n"/>
      <c r="H28" s="9" t="n"/>
    </row>
    <row r="29" ht="22" customHeight="1">
      <c r="A29" s="25" t="inlineStr">
        <is>
          <t>ESTIMATED REVENUE</t>
        </is>
      </c>
      <c r="B29" s="9" t="n"/>
      <c r="C29" s="26">
        <f>C27*C28</f>
        <v/>
      </c>
      <c r="D29" s="16" t="inlineStr">
        <is>
          <t>Average deal size × sales this month.</t>
        </is>
      </c>
      <c r="E29" s="9" t="n"/>
      <c r="F29" s="9" t="n"/>
      <c r="G29" s="9" t="n"/>
      <c r="H29" s="9" t="n"/>
    </row>
  </sheetData>
  <mergeCells count="47">
    <mergeCell ref="G21:H21"/>
    <mergeCell ref="G12:H12"/>
    <mergeCell ref="A15:B15"/>
    <mergeCell ref="A11:B11"/>
    <mergeCell ref="G11:H11"/>
    <mergeCell ref="G23:H23"/>
    <mergeCell ref="A1:H1"/>
    <mergeCell ref="G8:H8"/>
    <mergeCell ref="A6:B6"/>
    <mergeCell ref="G17:H17"/>
    <mergeCell ref="A16:B16"/>
    <mergeCell ref="A7:B7"/>
    <mergeCell ref="G7:H7"/>
    <mergeCell ref="A25:H25"/>
    <mergeCell ref="G10:H10"/>
    <mergeCell ref="G19:H19"/>
    <mergeCell ref="D27:H27"/>
    <mergeCell ref="G6:H6"/>
    <mergeCell ref="A18:B18"/>
    <mergeCell ref="G18:H18"/>
    <mergeCell ref="A27:B27"/>
    <mergeCell ref="A12:B12"/>
    <mergeCell ref="A26:B26"/>
    <mergeCell ref="A21:B21"/>
    <mergeCell ref="G15:H15"/>
    <mergeCell ref="A2:H2"/>
    <mergeCell ref="A5:B5"/>
    <mergeCell ref="G5:H5"/>
    <mergeCell ref="D28:H28"/>
    <mergeCell ref="A14:H14"/>
    <mergeCell ref="A17:B17"/>
    <mergeCell ref="A23:B23"/>
    <mergeCell ref="A8:B8"/>
    <mergeCell ref="A22:B22"/>
    <mergeCell ref="A4:H4"/>
    <mergeCell ref="A20:B20"/>
    <mergeCell ref="G20:H20"/>
    <mergeCell ref="A29:B29"/>
    <mergeCell ref="G16:H16"/>
    <mergeCell ref="A19:B19"/>
    <mergeCell ref="A10:B10"/>
    <mergeCell ref="A28:B28"/>
    <mergeCell ref="D29:H29"/>
    <mergeCell ref="G22:H22"/>
    <mergeCell ref="A9:B9"/>
    <mergeCell ref="G9:H9"/>
    <mergeCell ref="D26:H26"/>
  </mergeCells>
  <conditionalFormatting sqref="F6">
    <cfRule type="expression" priority="1" dxfId="0">
      <formula>ISNUMBER(SEARCH("✔",F6))</formula>
    </cfRule>
    <cfRule type="expression" priority="2" dxfId="1">
      <formula>ISNUMBER(SEARCH("▲",F6))</formula>
    </cfRule>
  </conditionalFormatting>
  <conditionalFormatting sqref="F7">
    <cfRule type="expression" priority="3" dxfId="0">
      <formula>ISNUMBER(SEARCH("✔",F7))</formula>
    </cfRule>
    <cfRule type="expression" priority="4" dxfId="1">
      <formula>ISNUMBER(SEARCH("▲",F7))</formula>
    </cfRule>
  </conditionalFormatting>
  <conditionalFormatting sqref="F8">
    <cfRule type="expression" priority="5" dxfId="0">
      <formula>ISNUMBER(SEARCH("✔",F8))</formula>
    </cfRule>
    <cfRule type="expression" priority="6" dxfId="1">
      <formula>ISNUMBER(SEARCH("▲",F8))</formula>
    </cfRule>
  </conditionalFormatting>
  <conditionalFormatting sqref="F9">
    <cfRule type="expression" priority="7" dxfId="0">
      <formula>ISNUMBER(SEARCH("✔",F9))</formula>
    </cfRule>
    <cfRule type="expression" priority="8" dxfId="1">
      <formula>ISNUMBER(SEARCH("▲",F9))</formula>
    </cfRule>
  </conditionalFormatting>
  <conditionalFormatting sqref="F10">
    <cfRule type="expression" priority="9" dxfId="0">
      <formula>ISNUMBER(SEARCH("✔",F10))</formula>
    </cfRule>
    <cfRule type="expression" priority="10" dxfId="1">
      <formula>ISNUMBER(SEARCH("▲",F10))</formula>
    </cfRule>
  </conditionalFormatting>
  <conditionalFormatting sqref="F11">
    <cfRule type="expression" priority="11" dxfId="0">
      <formula>ISNUMBER(SEARCH("✔",F11))</formula>
    </cfRule>
    <cfRule type="expression" priority="12" dxfId="1">
      <formula>ISNUMBER(SEARCH("▲",F11))</formula>
    </cfRule>
  </conditionalFormatting>
  <conditionalFormatting sqref="F12">
    <cfRule type="expression" priority="13" dxfId="0">
      <formula>ISNUMBER(SEARCH("✔",F12))</formula>
    </cfRule>
    <cfRule type="expression" priority="14" dxfId="1">
      <formula>ISNUMBER(SEARCH("▲",F12))</formula>
    </cfRule>
  </conditionalFormatting>
  <conditionalFormatting sqref="F16">
    <cfRule type="expression" priority="15" dxfId="0">
      <formula>ISNUMBER(SEARCH("✔",F16))</formula>
    </cfRule>
    <cfRule type="expression" priority="16" dxfId="1">
      <formula>ISNUMBER(SEARCH("▲",F16))</formula>
    </cfRule>
  </conditionalFormatting>
  <conditionalFormatting sqref="F17">
    <cfRule type="expression" priority="17" dxfId="0">
      <formula>ISNUMBER(SEARCH("✔",F17))</formula>
    </cfRule>
    <cfRule type="expression" priority="18" dxfId="1">
      <formula>ISNUMBER(SEARCH("▲",F17))</formula>
    </cfRule>
  </conditionalFormatting>
  <conditionalFormatting sqref="F18">
    <cfRule type="expression" priority="19" dxfId="0">
      <formula>ISNUMBER(SEARCH("✔",F18))</formula>
    </cfRule>
    <cfRule type="expression" priority="20" dxfId="1">
      <formula>ISNUMBER(SEARCH("▲",F18))</formula>
    </cfRule>
  </conditionalFormatting>
  <conditionalFormatting sqref="F19">
    <cfRule type="expression" priority="21" dxfId="0">
      <formula>ISNUMBER(SEARCH("✔",F19))</formula>
    </cfRule>
    <cfRule type="expression" priority="22" dxfId="1">
      <formula>ISNUMBER(SEARCH("▲",F19))</formula>
    </cfRule>
  </conditionalFormatting>
  <conditionalFormatting sqref="F20">
    <cfRule type="expression" priority="23" dxfId="0">
      <formula>ISNUMBER(SEARCH("✔",F20))</formula>
    </cfRule>
    <cfRule type="expression" priority="24" dxfId="1">
      <formula>ISNUMBER(SEARCH("▲",F20))</formula>
    </cfRule>
  </conditionalFormatting>
  <conditionalFormatting sqref="F21">
    <cfRule type="expression" priority="25" dxfId="0">
      <formula>ISNUMBER(SEARCH("✔",F21))</formula>
    </cfRule>
    <cfRule type="expression" priority="26" dxfId="1">
      <formula>ISNUMBER(SEARCH("▲",F21))</formula>
    </cfRule>
  </conditionalFormatting>
  <conditionalFormatting sqref="F22">
    <cfRule type="expression" priority="27" dxfId="0">
      <formula>ISNUMBER(SEARCH("✔",F22))</formula>
    </cfRule>
    <cfRule type="expression" priority="28" dxfId="1">
      <formula>ISNUMBER(SEARCH("▲",F22))</formula>
    </cfRule>
  </conditionalFormatting>
  <conditionalFormatting sqref="F23">
    <cfRule type="expression" priority="29" dxfId="0">
      <formula>ISNUMBER(SEARCH("✔",F23))</formula>
    </cfRule>
    <cfRule type="expression" priority="30" dxfId="1">
      <formula>ISNUMBER(SEARCH("▲",F23))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Daily Outbound · daily log</t>
        </is>
      </c>
    </row>
    <row r="2" ht="16" customHeight="1">
      <c r="A2" s="2" t="inlineStr">
        <is>
          <t>Active prospecting: calls, messages and social selling.</t>
        </is>
      </c>
    </row>
    <row r="4" ht="20" customHeight="1">
      <c r="A4" s="3" t="inlineStr">
        <is>
          <t>FILL IN EACH DAY'S NUMBERS (LEAVE BLANK THE DAYS WITH NONE)</t>
        </is>
      </c>
    </row>
    <row r="5" ht="26" customHeight="1">
      <c r="A5" s="8" t="inlineStr">
        <is>
          <t>Day</t>
        </is>
      </c>
      <c r="B5" s="8" t="inlineStr">
        <is>
          <t>Wk</t>
        </is>
      </c>
      <c r="C5" s="10" t="inlineStr">
        <is>
          <t>Calls</t>
        </is>
      </c>
      <c r="D5" s="10" t="inlineStr">
        <is>
          <t>Messages / Social</t>
        </is>
      </c>
      <c r="E5" s="10" t="inlineStr">
        <is>
          <t>Connections (replies)</t>
        </is>
      </c>
      <c r="F5" s="10" t="inlineStr">
        <is>
          <t>Meetings booked</t>
        </is>
      </c>
      <c r="G5" s="10" t="inlineStr">
        <is>
          <t>Meetings held (show)</t>
        </is>
      </c>
      <c r="H5" s="10" t="inlineStr">
        <is>
          <t>No-show</t>
        </is>
      </c>
      <c r="I5" s="10" t="inlineStr">
        <is>
          <t>Proposals</t>
        </is>
      </c>
      <c r="J5" s="10" t="inlineStr">
        <is>
          <t>Sales</t>
        </is>
      </c>
    </row>
    <row r="6" ht="16" customHeight="1">
      <c r="A6" s="27" t="n">
        <v>1</v>
      </c>
      <c r="B6" s="28">
        <f>ROUNDUP(A6/7,0)</f>
        <v/>
      </c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16" customHeight="1">
      <c r="A7" s="27" t="n">
        <v>2</v>
      </c>
      <c r="B7" s="28">
        <f>ROUNDUP(A7/7,0)</f>
        <v/>
      </c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16" customHeight="1">
      <c r="A8" s="27" t="n">
        <v>3</v>
      </c>
      <c r="B8" s="28">
        <f>ROUNDUP(A8/7,0)</f>
        <v/>
      </c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16" customHeight="1">
      <c r="A9" s="27" t="n">
        <v>4</v>
      </c>
      <c r="B9" s="28">
        <f>ROUNDUP(A9/7,0)</f>
        <v/>
      </c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16" customHeight="1">
      <c r="A10" s="27" t="n">
        <v>5</v>
      </c>
      <c r="B10" s="28">
        <f>ROUNDUP(A10/7,0)</f>
        <v/>
      </c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16" customHeight="1">
      <c r="A11" s="27" t="n">
        <v>6</v>
      </c>
      <c r="B11" s="28">
        <f>ROUNDUP(A11/7,0)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16" customHeight="1">
      <c r="A12" s="27" t="n">
        <v>7</v>
      </c>
      <c r="B12" s="28">
        <f>ROUNDUP(A12/7,0)</f>
        <v/>
      </c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16" customHeight="1">
      <c r="A13" s="27" t="n">
        <v>8</v>
      </c>
      <c r="B13" s="28">
        <f>ROUNDUP(A13/7,0)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16" customHeight="1">
      <c r="A14" s="27" t="n">
        <v>9</v>
      </c>
      <c r="B14" s="28">
        <f>ROUNDUP(A14/7,0)</f>
        <v/>
      </c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16" customHeight="1">
      <c r="A15" s="27" t="n">
        <v>10</v>
      </c>
      <c r="B15" s="28">
        <f>ROUNDUP(A15/7,0)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16" customHeight="1">
      <c r="A16" s="27" t="n">
        <v>11</v>
      </c>
      <c r="B16" s="28">
        <f>ROUNDUP(A16/7,0)</f>
        <v/>
      </c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16" customHeight="1">
      <c r="A17" s="27" t="n">
        <v>12</v>
      </c>
      <c r="B17" s="28">
        <f>ROUNDUP(A17/7,0)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16" customHeight="1">
      <c r="A18" s="27" t="n">
        <v>13</v>
      </c>
      <c r="B18" s="28">
        <f>ROUNDUP(A18/7,0)</f>
        <v/>
      </c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16" customHeight="1">
      <c r="A19" s="27" t="n">
        <v>14</v>
      </c>
      <c r="B19" s="28">
        <f>ROUNDUP(A19/7,0)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16" customHeight="1">
      <c r="A20" s="27" t="n">
        <v>15</v>
      </c>
      <c r="B20" s="28">
        <f>ROUNDUP(A20/7,0)</f>
        <v/>
      </c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 ht="16" customHeight="1">
      <c r="A21" s="27" t="n">
        <v>16</v>
      </c>
      <c r="B21" s="28">
        <f>ROUNDUP(A21/7,0)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 ht="16" customHeight="1">
      <c r="A22" s="27" t="n">
        <v>17</v>
      </c>
      <c r="B22" s="28">
        <f>ROUNDUP(A22/7,0)</f>
        <v/>
      </c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 ht="16" customHeight="1">
      <c r="A23" s="27" t="n">
        <v>18</v>
      </c>
      <c r="B23" s="28">
        <f>ROUNDUP(A23/7,0)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16" customHeight="1">
      <c r="A24" s="27" t="n">
        <v>19</v>
      </c>
      <c r="B24" s="28">
        <f>ROUNDUP(A24/7,0)</f>
        <v/>
      </c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 ht="16" customHeight="1">
      <c r="A25" s="27" t="n">
        <v>20</v>
      </c>
      <c r="B25" s="28">
        <f>ROUNDUP(A25/7,0)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 ht="16" customHeight="1">
      <c r="A26" s="27" t="n">
        <v>21</v>
      </c>
      <c r="B26" s="28">
        <f>ROUNDUP(A26/7,0)</f>
        <v/>
      </c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16" customHeight="1">
      <c r="A27" s="27" t="n">
        <v>22</v>
      </c>
      <c r="B27" s="28">
        <f>ROUNDUP(A27/7,0)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 ht="16" customHeight="1">
      <c r="A28" s="27" t="n">
        <v>23</v>
      </c>
      <c r="B28" s="28">
        <f>ROUNDUP(A28/7,0)</f>
        <v/>
      </c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 ht="16" customHeight="1">
      <c r="A29" s="27" t="n">
        <v>24</v>
      </c>
      <c r="B29" s="28">
        <f>ROUNDUP(A29/7,0)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 ht="16" customHeight="1">
      <c r="A30" s="27" t="n">
        <v>25</v>
      </c>
      <c r="B30" s="28">
        <f>ROUNDUP(A30/7,0)</f>
        <v/>
      </c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 ht="16" customHeight="1">
      <c r="A31" s="27" t="n">
        <v>26</v>
      </c>
      <c r="B31" s="28">
        <f>ROUNDUP(A31/7,0)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 ht="16" customHeight="1">
      <c r="A32" s="27" t="n">
        <v>27</v>
      </c>
      <c r="B32" s="28">
        <f>ROUNDUP(A32/7,0)</f>
        <v/>
      </c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 ht="16" customHeight="1">
      <c r="A33" s="27" t="n">
        <v>28</v>
      </c>
      <c r="B33" s="28">
        <f>ROUNDUP(A33/7,0)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 ht="16" customHeight="1">
      <c r="A34" s="27" t="n">
        <v>29</v>
      </c>
      <c r="B34" s="28">
        <f>ROUNDUP(A34/7,0)</f>
        <v/>
      </c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 ht="16" customHeight="1">
      <c r="A35" s="27" t="n">
        <v>30</v>
      </c>
      <c r="B35" s="28">
        <f>ROUNDUP(A35/7,0)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 ht="16" customHeight="1">
      <c r="A36" s="27" t="n">
        <v>31</v>
      </c>
      <c r="B36" s="28">
        <f>ROUNDUP(A36/7,0)</f>
        <v/>
      </c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A37" s="29" t="inlineStr">
        <is>
          <t>TOTAL</t>
        </is>
      </c>
      <c r="B37" s="30" t="n"/>
      <c r="C37" s="31">
        <f>SUM(C6:C36)</f>
        <v/>
      </c>
      <c r="D37" s="31">
        <f>SUM(D6:D36)</f>
        <v/>
      </c>
      <c r="E37" s="31">
        <f>SUM(E6:E36)</f>
        <v/>
      </c>
      <c r="F37" s="31">
        <f>SUM(F6:F36)</f>
        <v/>
      </c>
      <c r="G37" s="31">
        <f>SUM(G6:G36)</f>
        <v/>
      </c>
      <c r="H37" s="31">
        <f>SUM(H6:H36)</f>
        <v/>
      </c>
      <c r="I37" s="31">
        <f>SUM(I6:I36)</f>
        <v/>
      </c>
      <c r="J37" s="31">
        <f>SUM(J6:J36)</f>
        <v/>
      </c>
    </row>
    <row r="38">
      <c r="A38" s="32" t="inlineStr">
        <is>
          <t>AVG/day</t>
        </is>
      </c>
      <c r="B38" s="9" t="n"/>
      <c r="C38" s="33">
        <f>IFERROR(ROUND(AVERAGE(C6:C36),1),0)</f>
        <v/>
      </c>
      <c r="D38" s="33">
        <f>IFERROR(ROUND(AVERAGE(D6:D36),1),0)</f>
        <v/>
      </c>
      <c r="E38" s="33">
        <f>IFERROR(ROUND(AVERAGE(E6:E36),1),0)</f>
        <v/>
      </c>
      <c r="F38" s="33">
        <f>IFERROR(ROUND(AVERAGE(F6:F36),1),0)</f>
        <v/>
      </c>
      <c r="G38" s="33">
        <f>IFERROR(ROUND(AVERAGE(G6:G36),1),0)</f>
        <v/>
      </c>
      <c r="H38" s="33">
        <f>IFERROR(ROUND(AVERAGE(H6:H36),1),0)</f>
        <v/>
      </c>
      <c r="I38" s="33">
        <f>IFERROR(ROUND(AVERAGE(I6:I36),1),0)</f>
        <v/>
      </c>
      <c r="J38" s="33">
        <f>IFERROR(ROUND(AVERAGE(J6:J36),1),0)</f>
        <v/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Daily Inbound · daily log</t>
        </is>
      </c>
    </row>
    <row r="2" ht="16" customHeight="1">
      <c r="A2" s="2" t="inlineStr">
        <is>
          <t>Incoming leads: ads, website, referrals and organic.</t>
        </is>
      </c>
    </row>
    <row r="4" ht="20" customHeight="1">
      <c r="A4" s="3" t="inlineStr">
        <is>
          <t>FILL IN EACH DAY'S NUMBERS (LEAVE BLANK THE DAYS WITH NONE)</t>
        </is>
      </c>
    </row>
    <row r="5" ht="26" customHeight="1">
      <c r="A5" s="8" t="inlineStr">
        <is>
          <t>Day</t>
        </is>
      </c>
      <c r="B5" s="8" t="inlineStr">
        <is>
          <t>Wk</t>
        </is>
      </c>
      <c r="C5" s="10" t="inlineStr">
        <is>
          <t>Leads received</t>
        </is>
      </c>
      <c r="D5" s="10" t="inlineStr">
        <is>
          <t>Answered within 5 min</t>
        </is>
      </c>
      <c r="E5" s="10" t="inlineStr">
        <is>
          <t>Qualified</t>
        </is>
      </c>
      <c r="F5" s="10" t="inlineStr">
        <is>
          <t>Meetings booked</t>
        </is>
      </c>
      <c r="G5" s="10" t="inlineStr">
        <is>
          <t>Meetings held (show)</t>
        </is>
      </c>
      <c r="H5" s="10" t="inlineStr">
        <is>
          <t>No-show</t>
        </is>
      </c>
      <c r="I5" s="10" t="inlineStr">
        <is>
          <t>Proposals</t>
        </is>
      </c>
      <c r="J5" s="10" t="inlineStr">
        <is>
          <t>Sales</t>
        </is>
      </c>
    </row>
    <row r="6" ht="16" customHeight="1">
      <c r="A6" s="27" t="n">
        <v>1</v>
      </c>
      <c r="B6" s="28">
        <f>ROUNDUP(A6/7,0)</f>
        <v/>
      </c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16" customHeight="1">
      <c r="A7" s="27" t="n">
        <v>2</v>
      </c>
      <c r="B7" s="28">
        <f>ROUNDUP(A7/7,0)</f>
        <v/>
      </c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16" customHeight="1">
      <c r="A8" s="27" t="n">
        <v>3</v>
      </c>
      <c r="B8" s="28">
        <f>ROUNDUP(A8/7,0)</f>
        <v/>
      </c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16" customHeight="1">
      <c r="A9" s="27" t="n">
        <v>4</v>
      </c>
      <c r="B9" s="28">
        <f>ROUNDUP(A9/7,0)</f>
        <v/>
      </c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16" customHeight="1">
      <c r="A10" s="27" t="n">
        <v>5</v>
      </c>
      <c r="B10" s="28">
        <f>ROUNDUP(A10/7,0)</f>
        <v/>
      </c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16" customHeight="1">
      <c r="A11" s="27" t="n">
        <v>6</v>
      </c>
      <c r="B11" s="28">
        <f>ROUNDUP(A11/7,0)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16" customHeight="1">
      <c r="A12" s="27" t="n">
        <v>7</v>
      </c>
      <c r="B12" s="28">
        <f>ROUNDUP(A12/7,0)</f>
        <v/>
      </c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16" customHeight="1">
      <c r="A13" s="27" t="n">
        <v>8</v>
      </c>
      <c r="B13" s="28">
        <f>ROUNDUP(A13/7,0)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16" customHeight="1">
      <c r="A14" s="27" t="n">
        <v>9</v>
      </c>
      <c r="B14" s="28">
        <f>ROUNDUP(A14/7,0)</f>
        <v/>
      </c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16" customHeight="1">
      <c r="A15" s="27" t="n">
        <v>10</v>
      </c>
      <c r="B15" s="28">
        <f>ROUNDUP(A15/7,0)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16" customHeight="1">
      <c r="A16" s="27" t="n">
        <v>11</v>
      </c>
      <c r="B16" s="28">
        <f>ROUNDUP(A16/7,0)</f>
        <v/>
      </c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16" customHeight="1">
      <c r="A17" s="27" t="n">
        <v>12</v>
      </c>
      <c r="B17" s="28">
        <f>ROUNDUP(A17/7,0)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16" customHeight="1">
      <c r="A18" s="27" t="n">
        <v>13</v>
      </c>
      <c r="B18" s="28">
        <f>ROUNDUP(A18/7,0)</f>
        <v/>
      </c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16" customHeight="1">
      <c r="A19" s="27" t="n">
        <v>14</v>
      </c>
      <c r="B19" s="28">
        <f>ROUNDUP(A19/7,0)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16" customHeight="1">
      <c r="A20" s="27" t="n">
        <v>15</v>
      </c>
      <c r="B20" s="28">
        <f>ROUNDUP(A20/7,0)</f>
        <v/>
      </c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 ht="16" customHeight="1">
      <c r="A21" s="27" t="n">
        <v>16</v>
      </c>
      <c r="B21" s="28">
        <f>ROUNDUP(A21/7,0)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 ht="16" customHeight="1">
      <c r="A22" s="27" t="n">
        <v>17</v>
      </c>
      <c r="B22" s="28">
        <f>ROUNDUP(A22/7,0)</f>
        <v/>
      </c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 ht="16" customHeight="1">
      <c r="A23" s="27" t="n">
        <v>18</v>
      </c>
      <c r="B23" s="28">
        <f>ROUNDUP(A23/7,0)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16" customHeight="1">
      <c r="A24" s="27" t="n">
        <v>19</v>
      </c>
      <c r="B24" s="28">
        <f>ROUNDUP(A24/7,0)</f>
        <v/>
      </c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 ht="16" customHeight="1">
      <c r="A25" s="27" t="n">
        <v>20</v>
      </c>
      <c r="B25" s="28">
        <f>ROUNDUP(A25/7,0)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 ht="16" customHeight="1">
      <c r="A26" s="27" t="n">
        <v>21</v>
      </c>
      <c r="B26" s="28">
        <f>ROUNDUP(A26/7,0)</f>
        <v/>
      </c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16" customHeight="1">
      <c r="A27" s="27" t="n">
        <v>22</v>
      </c>
      <c r="B27" s="28">
        <f>ROUNDUP(A27/7,0)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 ht="16" customHeight="1">
      <c r="A28" s="27" t="n">
        <v>23</v>
      </c>
      <c r="B28" s="28">
        <f>ROUNDUP(A28/7,0)</f>
        <v/>
      </c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 ht="16" customHeight="1">
      <c r="A29" s="27" t="n">
        <v>24</v>
      </c>
      <c r="B29" s="28">
        <f>ROUNDUP(A29/7,0)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 ht="16" customHeight="1">
      <c r="A30" s="27" t="n">
        <v>25</v>
      </c>
      <c r="B30" s="28">
        <f>ROUNDUP(A30/7,0)</f>
        <v/>
      </c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 ht="16" customHeight="1">
      <c r="A31" s="27" t="n">
        <v>26</v>
      </c>
      <c r="B31" s="28">
        <f>ROUNDUP(A31/7,0)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 ht="16" customHeight="1">
      <c r="A32" s="27" t="n">
        <v>27</v>
      </c>
      <c r="B32" s="28">
        <f>ROUNDUP(A32/7,0)</f>
        <v/>
      </c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 ht="16" customHeight="1">
      <c r="A33" s="27" t="n">
        <v>28</v>
      </c>
      <c r="B33" s="28">
        <f>ROUNDUP(A33/7,0)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 ht="16" customHeight="1">
      <c r="A34" s="27" t="n">
        <v>29</v>
      </c>
      <c r="B34" s="28">
        <f>ROUNDUP(A34/7,0)</f>
        <v/>
      </c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 ht="16" customHeight="1">
      <c r="A35" s="27" t="n">
        <v>30</v>
      </c>
      <c r="B35" s="28">
        <f>ROUNDUP(A35/7,0)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 ht="16" customHeight="1">
      <c r="A36" s="27" t="n">
        <v>31</v>
      </c>
      <c r="B36" s="28">
        <f>ROUNDUP(A36/7,0)</f>
        <v/>
      </c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A37" s="29" t="inlineStr">
        <is>
          <t>TOTAL</t>
        </is>
      </c>
      <c r="B37" s="30" t="n"/>
      <c r="C37" s="31">
        <f>SUM(C6:C36)</f>
        <v/>
      </c>
      <c r="D37" s="31">
        <f>SUM(D6:D36)</f>
        <v/>
      </c>
      <c r="E37" s="31">
        <f>SUM(E6:E36)</f>
        <v/>
      </c>
      <c r="F37" s="31">
        <f>SUM(F6:F36)</f>
        <v/>
      </c>
      <c r="G37" s="31">
        <f>SUM(G6:G36)</f>
        <v/>
      </c>
      <c r="H37" s="31">
        <f>SUM(H6:H36)</f>
        <v/>
      </c>
      <c r="I37" s="31">
        <f>SUM(I6:I36)</f>
        <v/>
      </c>
      <c r="J37" s="31">
        <f>SUM(J6:J36)</f>
        <v/>
      </c>
    </row>
    <row r="38">
      <c r="A38" s="32" t="inlineStr">
        <is>
          <t>AVG/day</t>
        </is>
      </c>
      <c r="B38" s="9" t="n"/>
      <c r="C38" s="33">
        <f>IFERROR(ROUND(AVERAGE(C6:C36),1),0)</f>
        <v/>
      </c>
      <c r="D38" s="33">
        <f>IFERROR(ROUND(AVERAGE(D6:D36),1),0)</f>
        <v/>
      </c>
      <c r="E38" s="33">
        <f>IFERROR(ROUND(AVERAGE(E6:E36),1),0)</f>
        <v/>
      </c>
      <c r="F38" s="33">
        <f>IFERROR(ROUND(AVERAGE(F6:F36),1),0)</f>
        <v/>
      </c>
      <c r="G38" s="33">
        <f>IFERROR(ROUND(AVERAGE(G6:G36),1),0)</f>
        <v/>
      </c>
      <c r="H38" s="33">
        <f>IFERROR(ROUND(AVERAGE(H6:H36),1),0)</f>
        <v/>
      </c>
      <c r="I38" s="33">
        <f>IFERROR(ROUND(AVERAGE(I6:I36),1),0)</f>
        <v/>
      </c>
      <c r="J38" s="33">
        <f>IFERROR(ROUND(AVERAGE(J6:J36),1),0)</f>
        <v/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2026-07-05T23:18:53Z</dcterms:created>
  <dcterms:modified xmlns:dcterms="http://purl.org/dc/terms/" xmlns:xsi="http://www.w3.org/2001/XMLSchema-instance" xsi:type="dcterms:W3CDTF">2026-07-05T23:18:54Z</dcterms:modified>
</cp:coreProperties>
</file>