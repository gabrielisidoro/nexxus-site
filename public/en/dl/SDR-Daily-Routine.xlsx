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Daily Routine" sheetId="3" state="visible" r:id="rId3"/>
    <sheet xmlns:r="http://schemas.openxmlformats.org/officeDocument/2006/relationships" name="Week &amp; Month" sheetId="4" state="visible" r:id="rId4"/>
    <sheet xmlns:r="http://schemas.openxmlformats.org/officeDocument/2006/relationships" name="Objec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i val="1"/>
      <color rgb="006B6B72"/>
      <sz val="9"/>
    </font>
    <font>
      <name val="Arial"/>
      <b val="1"/>
      <color rgb="00E8430F"/>
      <sz val="10"/>
    </font>
    <font>
      <name val="Arial"/>
      <b val="1"/>
      <color rgb="00E8430F"/>
      <sz val="11"/>
    </font>
    <font>
      <name val="Arial"/>
      <color rgb="002E2E33"/>
      <sz val="10"/>
    </font>
    <font>
      <name val="Arial"/>
      <b val="1"/>
      <color rgb="002E2E33"/>
      <sz val="10"/>
    </font>
    <font>
      <name val="Arial"/>
      <color rgb="006B6B72"/>
      <sz val="8"/>
    </font>
    <font>
      <name val="Arial"/>
      <b val="1"/>
      <color rgb="00FFFFFF"/>
      <sz val="9"/>
    </font>
    <font>
      <name val="Arial"/>
      <color rgb="002E2E33"/>
      <sz val="9"/>
    </font>
    <font>
      <name val="Arial"/>
      <b val="1"/>
      <color rgb="002E2E33"/>
      <sz val="9"/>
    </font>
    <font>
      <name val="Arial"/>
      <b val="1"/>
      <color rgb="00E8430F"/>
      <sz val="8"/>
    </font>
    <font>
      <name val="Arial"/>
      <b val="1"/>
      <color rgb="00FB5A2D"/>
      <sz val="10"/>
    </font>
    <font>
      <name val="Arial"/>
      <b val="1"/>
      <color rgb="00FFFFFF"/>
      <sz val="11"/>
    </font>
    <font>
      <name val="Arial"/>
      <b val="1"/>
      <color rgb="00FFFFFF"/>
      <sz val="12"/>
    </font>
    <font>
      <name val="Arial"/>
      <b val="1"/>
      <color rgb="00E8430F"/>
      <sz val="14"/>
    </font>
    <font>
      <name val="Arial"/>
      <b val="1"/>
      <color rgb="006B6B72"/>
      <sz val="8"/>
    </font>
  </fonts>
  <fills count="7">
    <fill>
      <patternFill/>
    </fill>
    <fill>
      <patternFill patternType="gray125"/>
    </fill>
    <fill>
      <patternFill patternType="solid">
        <fgColor rgb="00FB5A2D"/>
      </patternFill>
    </fill>
    <fill>
      <patternFill patternType="solid">
        <fgColor rgb="00FFE7DA"/>
      </patternFill>
    </fill>
    <fill>
      <patternFill patternType="solid">
        <fgColor rgb="002E2E33"/>
      </patternFill>
    </fill>
    <fill>
      <patternFill patternType="solid">
        <fgColor rgb="00FFFFFF"/>
      </patternFill>
    </fill>
    <fill>
      <patternFill patternType="solid">
        <fgColor rgb="00F7F6F3"/>
      </patternFill>
    </fill>
  </fills>
  <borders count="6">
    <border>
      <left/>
      <right/>
      <top/>
      <bottom/>
      <diagonal/>
    </border>
    <border>
      <left style="thin">
        <color rgb="00D9D7D3"/>
      </left>
      <right style="thin">
        <color rgb="00D9D7D3"/>
      </right>
      <top style="thin">
        <color rgb="00D9D7D3"/>
      </top>
      <bottom style="thin">
        <color rgb="00D9D7D3"/>
      </bottom>
    </border>
    <border>
      <left/>
      <right/>
      <top style="thin">
        <color rgb="00D9D7D3"/>
      </top>
      <bottom/>
      <diagonal/>
    </border>
    <border>
      <left/>
      <right style="thin">
        <color rgb="00D9D7D3"/>
      </right>
      <top style="thin">
        <color rgb="00D9D7D3"/>
      </top>
      <bottom/>
      <diagonal/>
    </border>
    <border>
      <left/>
      <right/>
      <top style="thin">
        <color rgb="00D9D7D3"/>
      </top>
      <bottom style="thin">
        <color rgb="00D9D7D3"/>
      </bottom>
      <diagonal/>
    </border>
    <border>
      <left/>
      <right style="thin">
        <color rgb="00D9D7D3"/>
      </right>
      <top style="thin">
        <color rgb="00D9D7D3"/>
      </top>
      <bottom style="thin">
        <color rgb="00D9D7D3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3" borderId="0" applyAlignment="1" pivotButton="0" quotePrefix="0" xfId="0">
      <alignment horizontal="left" vertical="center" indent="1"/>
    </xf>
    <xf numFmtId="0" fontId="4" fillId="0" borderId="0" applyAlignment="1" pivotButton="0" quotePrefix="0" xfId="0">
      <alignment horizontal="left" vertical="center" wrapText="1" indent="1"/>
    </xf>
    <xf numFmtId="0" fontId="5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 indent="1"/>
    </xf>
    <xf numFmtId="0" fontId="7" fillId="0" borderId="0" applyAlignment="1" pivotButton="0" quotePrefix="0" xfId="0">
      <alignment horizontal="left" vertical="center" wrapText="1" indent="1"/>
    </xf>
    <xf numFmtId="0" fontId="8" fillId="4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6" fillId="0" borderId="1" applyAlignment="1" pivotButton="0" quotePrefix="0" xfId="0">
      <alignment horizontal="left" vertical="center" wrapText="1" indent="1"/>
    </xf>
    <xf numFmtId="0" fontId="0" fillId="0" borderId="1" pivotButton="0" quotePrefix="0" xfId="0"/>
    <xf numFmtId="9" fontId="4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left" vertical="center" indent="1"/>
    </xf>
    <xf numFmtId="0" fontId="13" fillId="4" borderId="0" applyAlignment="1" pivotButton="0" quotePrefix="0" xfId="0">
      <alignment horizontal="left" vertical="center" wrapText="1" indent="1"/>
    </xf>
    <xf numFmtId="9" fontId="14" fillId="2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 indent="1"/>
    </xf>
    <xf numFmtId="0" fontId="15" fillId="0" borderId="1" applyAlignment="1" pivotButton="0" quotePrefix="0" xfId="0">
      <alignment horizontal="center" vertical="center"/>
    </xf>
    <xf numFmtId="9" fontId="15" fillId="0" borderId="1" applyAlignment="1" pivotButton="0" quotePrefix="0" xfId="0">
      <alignment horizontal="center" vertical="center"/>
    </xf>
    <xf numFmtId="0" fontId="16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left" vertical="center" wrapText="1" indent="1"/>
    </xf>
    <xf numFmtId="0" fontId="6" fillId="0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center" vertical="center" textRotation="90" wrapText="1"/>
    </xf>
    <xf numFmtId="0" fontId="9" fillId="0" borderId="1" applyAlignment="1" pivotButton="0" quotePrefix="0" xfId="0">
      <alignment horizontal="left" vertical="center" wrapText="1" indent="1"/>
    </xf>
    <xf numFmtId="0" fontId="0" fillId="5" borderId="1" applyAlignment="1" pivotButton="0" quotePrefix="0" xfId="0">
      <alignment horizontal="center" vertical="center"/>
    </xf>
    <xf numFmtId="9" fontId="10" fillId="0" borderId="1" applyAlignment="1" pivotButton="0" quotePrefix="0" xfId="0">
      <alignment horizontal="center" vertical="center"/>
    </xf>
    <xf numFmtId="9" fontId="3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30" customHeight="1">
      <c r="A1" s="1" t="inlineStr">
        <is>
          <t>Sales Routine · SDR (Pre-sales) · Usual Digital</t>
        </is>
      </c>
    </row>
    <row r="2" ht="16" customHeight="1">
      <c r="A2" s="2" t="inlineStr">
        <is>
          <t>The routine of top performers: daily, weekly and monthly, with a checklist, objection log and an automatic dashboard.</t>
        </is>
      </c>
    </row>
    <row r="4" ht="20" customHeight="1">
      <c r="A4" s="3" t="inlineStr">
        <is>
          <t>HOW TO USE (3 MINUTES)</t>
        </is>
      </c>
    </row>
    <row r="6" ht="30" customHeight="1">
      <c r="A6" s="4" t="inlineStr">
        <is>
          <t>1.</t>
        </is>
      </c>
      <c r="B6" s="5" t="inlineStr">
        <is>
          <t>Make your copy: in Google Sheets, go to File &gt; Make a copy. This sheet is personal: one copy per person.</t>
        </is>
      </c>
    </row>
    <row r="7" ht="30" customHeight="1">
      <c r="A7" s="4" t="inlineStr">
        <is>
          <t>2.</t>
        </is>
      </c>
      <c r="B7" s="5" t="inlineStr">
        <is>
          <t>Turn on the checkboxes: select the day cells (the white area of the routine tabs) and go to Insert &gt; Checkbox. It becomes a clickable checklist.</t>
        </is>
      </c>
    </row>
    <row r="8" ht="30" customHeight="1">
      <c r="A8" s="4" t="inlineStr">
        <is>
          <t>3.</t>
        </is>
      </c>
      <c r="B8" s="5" t="inlineStr">
        <is>
          <t>Every day, check off what you did. The daily %, the monthly consistency and the Dashboard calculate on their own.</t>
        </is>
      </c>
    </row>
    <row r="9" ht="30" customHeight="1">
      <c r="A9" s="4" t="inlineStr">
        <is>
          <t>4.</t>
        </is>
      </c>
      <c r="B9" s="5" t="inlineStr">
        <is>
          <t>Every objection you don't overcome, log it in the Objections tab. It becomes your training matrix.</t>
        </is>
      </c>
    </row>
    <row r="10" ht="30" customHeight="1">
      <c r="A10" s="4" t="inlineStr">
        <is>
          <t>5.</t>
        </is>
      </c>
      <c r="B10" s="5" t="inlineStr">
        <is>
          <t>On Friday, look at the Dashboard: consistency below 80% explains (almost always) the week's result.</t>
        </is>
      </c>
    </row>
    <row r="12" ht="20" customHeight="1">
      <c r="A12" s="3" t="inlineStr">
        <is>
          <t>WHAT'S IN EACH TAB</t>
        </is>
      </c>
    </row>
    <row r="14" ht="26" customHeight="1">
      <c r="A14" s="6" t="inlineStr">
        <is>
          <t>Dashboard</t>
        </is>
      </c>
      <c r="C14" s="5" t="inlineStr">
        <is>
          <t>Your overview: consistency of each routine, progress bars and an objections X-ray.</t>
        </is>
      </c>
    </row>
    <row r="15" ht="26" customHeight="1">
      <c r="A15" s="6" t="inlineStr">
        <is>
          <t>Daily Routine</t>
        </is>
      </c>
      <c r="C15" s="5" t="inlineStr">
        <is>
          <t>Month tracker: check off each task, day by day.</t>
        </is>
      </c>
    </row>
    <row r="16" ht="26" customHeight="1">
      <c r="A16" s="6" t="inlineStr">
        <is>
          <t>Week &amp; Month</t>
        </is>
      </c>
      <c r="C16" s="5" t="inlineStr">
        <is>
          <t>Weekly (5 weeks) and monthly (12 months) rituals of a top performer.</t>
        </is>
      </c>
    </row>
    <row r="17" ht="26" customHeight="1">
      <c r="A17" s="6" t="inlineStr">
        <is>
          <t>Objections</t>
        </is>
      </c>
      <c r="C17" s="5" t="inlineStr">
        <is>
          <t>Log of objections, sticking points and questions: what the customer said, how you answered, status and takeaway.</t>
        </is>
      </c>
    </row>
    <row r="19">
      <c r="A19" s="7" t="inlineStr">
        <is>
          <t>Usual Digital · High-performance sales structuring · By Gabriel Isidoro and Renan Paiva</t>
        </is>
      </c>
    </row>
  </sheetData>
  <mergeCells count="17">
    <mergeCell ref="A12:H12"/>
    <mergeCell ref="A4:H4"/>
    <mergeCell ref="B8:H8"/>
    <mergeCell ref="A16:B16"/>
    <mergeCell ref="C16:H16"/>
    <mergeCell ref="A15:B15"/>
    <mergeCell ref="B9:H9"/>
    <mergeCell ref="C14:H14"/>
    <mergeCell ref="A2:H2"/>
    <mergeCell ref="C17:H17"/>
    <mergeCell ref="B6:H6"/>
    <mergeCell ref="A14:B14"/>
    <mergeCell ref="B7:H7"/>
    <mergeCell ref="A1:H1"/>
    <mergeCell ref="B10:H10"/>
    <mergeCell ref="A17:B17"/>
    <mergeCell ref="C15:H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</cols>
  <sheetData>
    <row r="1" ht="30" customHeight="1">
      <c r="A1" s="1" t="inlineStr">
        <is>
          <t>Dashboard · SDR Routine</t>
        </is>
      </c>
    </row>
    <row r="2" ht="16" customHeight="1">
      <c r="A2" s="2" t="inlineStr">
        <is>
          <t>Nothing is typed here: everything calculates from the routines and the objection log.</t>
        </is>
      </c>
    </row>
    <row r="4" ht="20" customHeight="1">
      <c r="A4" s="3" t="inlineStr">
        <is>
          <t>ROUTINE CONSISTENCY (CHECKED / TOTAL)</t>
        </is>
      </c>
    </row>
    <row r="5">
      <c r="A5" s="8" t="inlineStr">
        <is>
          <t>Routine</t>
        </is>
      </c>
      <c r="B5" s="9" t="n"/>
      <c r="C5" s="10" t="n"/>
      <c r="D5" s="8" t="inlineStr">
        <is>
          <t>%</t>
        </is>
      </c>
      <c r="E5" s="8" t="inlineStr">
        <is>
          <t>Progress</t>
        </is>
      </c>
      <c r="F5" s="9" t="n"/>
      <c r="G5" s="9" t="n"/>
      <c r="H5" s="9" t="n"/>
      <c r="I5" s="10" t="n"/>
    </row>
    <row r="6" ht="22" customHeight="1">
      <c r="A6" s="11" t="inlineStr">
        <is>
          <t>Daily routine</t>
        </is>
      </c>
      <c r="B6" s="12" t="n"/>
      <c r="C6" s="12" t="n"/>
      <c r="D6" s="13">
        <f>'Daily Routine'!AH18</f>
        <v/>
      </c>
      <c r="E6" s="14">
        <f>REPT("█",ROUND(D6*20,0))&amp;REPT("░",20-ROUND(D6*20,0))</f>
        <v/>
      </c>
      <c r="F6" s="12" t="n"/>
      <c r="G6" s="12" t="n"/>
      <c r="H6" s="12" t="n"/>
      <c r="I6" s="12" t="n"/>
    </row>
    <row r="7" ht="22" customHeight="1">
      <c r="A7" s="11" t="inlineStr">
        <is>
          <t>Weekly routine</t>
        </is>
      </c>
      <c r="B7" s="12" t="n"/>
      <c r="C7" s="12" t="n"/>
      <c r="D7" s="13">
        <f>'Week &amp; Month'!H13</f>
        <v/>
      </c>
      <c r="E7" s="14">
        <f>REPT("█",ROUND(D7*20,0))&amp;REPT("░",20-ROUND(D7*20,0))</f>
        <v/>
      </c>
      <c r="F7" s="12" t="n"/>
      <c r="G7" s="12" t="n"/>
      <c r="H7" s="12" t="n"/>
      <c r="I7" s="12" t="n"/>
    </row>
    <row r="8" ht="22" customHeight="1">
      <c r="A8" s="11" t="inlineStr">
        <is>
          <t>Monthly routine</t>
        </is>
      </c>
      <c r="B8" s="12" t="n"/>
      <c r="C8" s="12" t="n"/>
      <c r="D8" s="13">
        <f>'Week &amp; Month'!O23</f>
        <v/>
      </c>
      <c r="E8" s="14">
        <f>REPT("█",ROUND(D8*20,0))&amp;REPT("░",20-ROUND(D8*20,0))</f>
        <v/>
      </c>
      <c r="F8" s="12" t="n"/>
      <c r="G8" s="12" t="n"/>
      <c r="H8" s="12" t="n"/>
      <c r="I8" s="12" t="n"/>
    </row>
    <row r="9" ht="24" customHeight="1">
      <c r="A9" s="15" t="inlineStr">
        <is>
          <t>OVERALL CONSISTENCY</t>
        </is>
      </c>
      <c r="D9" s="16">
        <f>IFERROR(AVERAGE(D6:D8),0)</f>
        <v/>
      </c>
      <c r="E9" s="17">
        <f>REPT("█",ROUND(D9*20,0))&amp;REPT("░",20-ROUND(D9*20,0))</f>
        <v/>
      </c>
    </row>
    <row r="11" ht="20" customHeight="1">
      <c r="A11" s="3" t="inlineStr">
        <is>
          <t>OBJECTIONS X-RAY</t>
        </is>
      </c>
    </row>
    <row r="12" ht="26" customHeight="1">
      <c r="A12" s="18">
        <f>COUNTA('Objections'!D6:D45)</f>
        <v/>
      </c>
      <c r="C12" s="18">
        <f>COUNTIF('Objections'!F6:F45,"Overcome")</f>
        <v/>
      </c>
      <c r="E12" s="18">
        <f>COUNTIF('Objections'!F6:F45,"Open")</f>
        <v/>
      </c>
      <c r="G12" s="18">
        <f>COUNTIF('Objections'!F6:F45,"Lost")</f>
        <v/>
      </c>
      <c r="I12" s="19">
        <f>IFERROR(COUNTIF('Objections'!F6:F45,"Overcome")/COUNTA('Objections'!D6:D45),0)</f>
        <v/>
      </c>
    </row>
    <row r="13" ht="18" customHeight="1">
      <c r="A13" s="20" t="inlineStr">
        <is>
          <t>Total logged</t>
        </is>
      </c>
      <c r="C13" s="20" t="inlineStr">
        <is>
          <t>Overcome</t>
        </is>
      </c>
      <c r="E13" s="20" t="inlineStr">
        <is>
          <t>Open (train!)</t>
        </is>
      </c>
      <c r="G13" s="20" t="inlineStr">
        <is>
          <t>Lost</t>
        </is>
      </c>
      <c r="I13" s="20" t="inlineStr">
        <is>
          <t>Overcome rate</t>
        </is>
      </c>
    </row>
    <row r="15" ht="20" customHeight="1">
      <c r="A15" s="3" t="inlineStr">
        <is>
          <t>OBJECTIONS BY CATEGORY</t>
        </is>
      </c>
    </row>
    <row r="16" ht="18" customHeight="1">
      <c r="A16" s="21" t="inlineStr">
        <is>
          <t>Price</t>
        </is>
      </c>
      <c r="B16" s="12" t="n"/>
      <c r="C16" s="22">
        <f>COUNTIF('Objections'!C6:C45,"Price")</f>
        <v/>
      </c>
      <c r="D16" s="14">
        <f>REPT("█",C16)</f>
        <v/>
      </c>
      <c r="E16" s="12" t="n"/>
      <c r="F16" s="12" t="n"/>
      <c r="G16" s="12" t="n"/>
      <c r="H16" s="12" t="n"/>
      <c r="I16" s="12" t="n"/>
    </row>
    <row r="17" ht="18" customHeight="1">
      <c r="A17" s="21" t="inlineStr">
        <is>
          <t>Timing</t>
        </is>
      </c>
      <c r="B17" s="12" t="n"/>
      <c r="C17" s="22">
        <f>COUNTIF('Objections'!C6:C45,"Timing")</f>
        <v/>
      </c>
      <c r="D17" s="14">
        <f>REPT("█",C17)</f>
        <v/>
      </c>
      <c r="E17" s="12" t="n"/>
      <c r="F17" s="12" t="n"/>
      <c r="G17" s="12" t="n"/>
      <c r="H17" s="12" t="n"/>
      <c r="I17" s="12" t="n"/>
    </row>
    <row r="18" ht="18" customHeight="1">
      <c r="A18" s="21" t="inlineStr">
        <is>
          <t>Trust</t>
        </is>
      </c>
      <c r="B18" s="12" t="n"/>
      <c r="C18" s="22">
        <f>COUNTIF('Objections'!C6:C45,"Trust")</f>
        <v/>
      </c>
      <c r="D18" s="14">
        <f>REPT("█",C18)</f>
        <v/>
      </c>
      <c r="E18" s="12" t="n"/>
      <c r="F18" s="12" t="n"/>
      <c r="G18" s="12" t="n"/>
      <c r="H18" s="12" t="n"/>
      <c r="I18" s="12" t="n"/>
    </row>
    <row r="19" ht="18" customHeight="1">
      <c r="A19" s="21" t="inlineStr">
        <is>
          <t>Competitor</t>
        </is>
      </c>
      <c r="B19" s="12" t="n"/>
      <c r="C19" s="22">
        <f>COUNTIF('Objections'!C6:C45,"Competitor")</f>
        <v/>
      </c>
      <c r="D19" s="14">
        <f>REPT("█",C19)</f>
        <v/>
      </c>
      <c r="E19" s="12" t="n"/>
      <c r="F19" s="12" t="n"/>
      <c r="G19" s="12" t="n"/>
      <c r="H19" s="12" t="n"/>
      <c r="I19" s="12" t="n"/>
    </row>
    <row r="20" ht="18" customHeight="1">
      <c r="A20" s="21" t="inlineStr">
        <is>
          <t>Delay</t>
        </is>
      </c>
      <c r="B20" s="12" t="n"/>
      <c r="C20" s="22">
        <f>COUNTIF('Objections'!C6:C45,"Delay")</f>
        <v/>
      </c>
      <c r="D20" s="14">
        <f>REPT("█",C20)</f>
        <v/>
      </c>
      <c r="E20" s="12" t="n"/>
      <c r="F20" s="12" t="n"/>
      <c r="G20" s="12" t="n"/>
      <c r="H20" s="12" t="n"/>
      <c r="I20" s="12" t="n"/>
    </row>
    <row r="21" ht="18" customHeight="1">
      <c r="A21" s="21" t="inlineStr">
        <is>
          <t>Decision-maker</t>
        </is>
      </c>
      <c r="B21" s="12" t="n"/>
      <c r="C21" s="22">
        <f>COUNTIF('Objections'!C6:C45,"Decision-maker")</f>
        <v/>
      </c>
      <c r="D21" s="14">
        <f>REPT("█",C21)</f>
        <v/>
      </c>
      <c r="E21" s="12" t="n"/>
      <c r="F21" s="12" t="n"/>
      <c r="G21" s="12" t="n"/>
      <c r="H21" s="12" t="n"/>
      <c r="I21" s="12" t="n"/>
    </row>
    <row r="22" ht="18" customHeight="1">
      <c r="A22" s="21" t="inlineStr">
        <is>
          <t>Other</t>
        </is>
      </c>
      <c r="B22" s="12" t="n"/>
      <c r="C22" s="22">
        <f>COUNTIF('Objections'!C6:C45,"Other")</f>
        <v/>
      </c>
      <c r="D22" s="14">
        <f>REPT("█",C22)</f>
        <v/>
      </c>
      <c r="E22" s="12" t="n"/>
      <c r="F22" s="12" t="n"/>
      <c r="G22" s="12" t="n"/>
      <c r="H22" s="12" t="n"/>
      <c r="I22" s="12" t="n"/>
    </row>
  </sheetData>
  <mergeCells count="39">
    <mergeCell ref="E12:F12"/>
    <mergeCell ref="G12:H12"/>
    <mergeCell ref="D17:I17"/>
    <mergeCell ref="E5:I5"/>
    <mergeCell ref="E8:I8"/>
    <mergeCell ref="D16:I16"/>
    <mergeCell ref="A16:B16"/>
    <mergeCell ref="A2:I2"/>
    <mergeCell ref="A5:C5"/>
    <mergeCell ref="A8:C8"/>
    <mergeCell ref="D18:I18"/>
    <mergeCell ref="E13:F13"/>
    <mergeCell ref="G13:H13"/>
    <mergeCell ref="A18:B18"/>
    <mergeCell ref="A4:I4"/>
    <mergeCell ref="E9:I9"/>
    <mergeCell ref="A12:B12"/>
    <mergeCell ref="C12:D12"/>
    <mergeCell ref="I12:J12"/>
    <mergeCell ref="A21:B21"/>
    <mergeCell ref="E6:I6"/>
    <mergeCell ref="A9:C9"/>
    <mergeCell ref="A17:B17"/>
    <mergeCell ref="D20:I20"/>
    <mergeCell ref="A22:B22"/>
    <mergeCell ref="A15:I15"/>
    <mergeCell ref="D19:I19"/>
    <mergeCell ref="A20:B20"/>
    <mergeCell ref="E7:I7"/>
    <mergeCell ref="A11:I11"/>
    <mergeCell ref="A19:B19"/>
    <mergeCell ref="D22:I22"/>
    <mergeCell ref="A6:C6"/>
    <mergeCell ref="A1:I1"/>
    <mergeCell ref="A13:B13"/>
    <mergeCell ref="C13:D13"/>
    <mergeCell ref="I13:J13"/>
    <mergeCell ref="A7:C7"/>
    <mergeCell ref="D21:I2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18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.5" customWidth="1" min="1" max="1"/>
    <col width="52" customWidth="1" min="2" max="2"/>
    <col width="3.6" customWidth="1" min="3" max="3"/>
    <col width="3.6" customWidth="1" min="4" max="4"/>
    <col width="3.6" customWidth="1" min="5" max="5"/>
    <col width="3.6" customWidth="1" min="6" max="6"/>
    <col width="3.6" customWidth="1" min="7" max="7"/>
    <col width="3.6" customWidth="1" min="8" max="8"/>
    <col width="3.6" customWidth="1" min="9" max="9"/>
    <col width="3.6" customWidth="1" min="10" max="10"/>
    <col width="3.6" customWidth="1" min="11" max="11"/>
    <col width="3.6" customWidth="1" min="12" max="12"/>
    <col width="3.6" customWidth="1" min="13" max="13"/>
    <col width="3.6" customWidth="1" min="14" max="14"/>
    <col width="3.6" customWidth="1" min="15" max="15"/>
    <col width="3.6" customWidth="1" min="16" max="16"/>
    <col width="3.6" customWidth="1" min="17" max="17"/>
    <col width="3.6" customWidth="1" min="18" max="18"/>
    <col width="3.6" customWidth="1" min="19" max="19"/>
    <col width="3.6" customWidth="1" min="20" max="20"/>
    <col width="3.6" customWidth="1" min="21" max="21"/>
    <col width="3.6" customWidth="1" min="22" max="22"/>
    <col width="3.6" customWidth="1" min="23" max="23"/>
    <col width="3.6" customWidth="1" min="24" max="24"/>
    <col width="3.6" customWidth="1" min="25" max="25"/>
    <col width="3.6" customWidth="1" min="26" max="26"/>
    <col width="3.6" customWidth="1" min="27" max="27"/>
    <col width="3.6" customWidth="1" min="28" max="28"/>
    <col width="3.6" customWidth="1" min="29" max="29"/>
    <col width="3.6" customWidth="1" min="30" max="30"/>
    <col width="3.6" customWidth="1" min="31" max="31"/>
    <col width="3.6" customWidth="1" min="32" max="32"/>
    <col width="3.6" customWidth="1" min="33" max="33"/>
    <col width="7" customWidth="1" min="34" max="34"/>
  </cols>
  <sheetData>
    <row r="1" ht="30" customHeight="1">
      <c r="A1" s="1" t="inlineStr">
        <is>
          <t>Daily Routine · SDR (Pre-sales)</t>
        </is>
      </c>
    </row>
    <row r="2" ht="16" customHeight="1">
      <c r="A2" s="2" t="inlineStr">
        <is>
          <t>Check off what you did each day. The % calculates on its own. Goal: consistency above 80%.</t>
        </is>
      </c>
    </row>
    <row r="4" ht="20" customHeight="1">
      <c r="A4" s="3" t="inlineStr">
        <is>
          <t>MONTHLY DAILY TRACKER</t>
        </is>
      </c>
    </row>
    <row r="5" ht="18" customHeight="1">
      <c r="A5" s="8" t="inlineStr">
        <is>
          <t>Block</t>
        </is>
      </c>
      <c r="B5" s="8" t="inlineStr">
        <is>
          <t>Task</t>
        </is>
      </c>
      <c r="C5" s="23" t="inlineStr">
        <is>
          <t>1</t>
        </is>
      </c>
      <c r="D5" s="23" t="inlineStr">
        <is>
          <t>2</t>
        </is>
      </c>
      <c r="E5" s="23" t="inlineStr">
        <is>
          <t>3</t>
        </is>
      </c>
      <c r="F5" s="23" t="inlineStr">
        <is>
          <t>4</t>
        </is>
      </c>
      <c r="G5" s="23" t="inlineStr">
        <is>
          <t>5</t>
        </is>
      </c>
      <c r="H5" s="23" t="inlineStr">
        <is>
          <t>6</t>
        </is>
      </c>
      <c r="I5" s="23" t="inlineStr">
        <is>
          <t>7</t>
        </is>
      </c>
      <c r="J5" s="23" t="inlineStr">
        <is>
          <t>8</t>
        </is>
      </c>
      <c r="K5" s="23" t="inlineStr">
        <is>
          <t>9</t>
        </is>
      </c>
      <c r="L5" s="23" t="inlineStr">
        <is>
          <t>10</t>
        </is>
      </c>
      <c r="M5" s="23" t="inlineStr">
        <is>
          <t>11</t>
        </is>
      </c>
      <c r="N5" s="23" t="inlineStr">
        <is>
          <t>12</t>
        </is>
      </c>
      <c r="O5" s="23" t="inlineStr">
        <is>
          <t>13</t>
        </is>
      </c>
      <c r="P5" s="23" t="inlineStr">
        <is>
          <t>14</t>
        </is>
      </c>
      <c r="Q5" s="23" t="inlineStr">
        <is>
          <t>15</t>
        </is>
      </c>
      <c r="R5" s="23" t="inlineStr">
        <is>
          <t>16</t>
        </is>
      </c>
      <c r="S5" s="23" t="inlineStr">
        <is>
          <t>17</t>
        </is>
      </c>
      <c r="T5" s="23" t="inlineStr">
        <is>
          <t>18</t>
        </is>
      </c>
      <c r="U5" s="23" t="inlineStr">
        <is>
          <t>19</t>
        </is>
      </c>
      <c r="V5" s="23" t="inlineStr">
        <is>
          <t>20</t>
        </is>
      </c>
      <c r="W5" s="23" t="inlineStr">
        <is>
          <t>21</t>
        </is>
      </c>
      <c r="X5" s="23" t="inlineStr">
        <is>
          <t>22</t>
        </is>
      </c>
      <c r="Y5" s="23" t="inlineStr">
        <is>
          <t>23</t>
        </is>
      </c>
      <c r="Z5" s="23" t="inlineStr">
        <is>
          <t>24</t>
        </is>
      </c>
      <c r="AA5" s="23" t="inlineStr">
        <is>
          <t>25</t>
        </is>
      </c>
      <c r="AB5" s="23" t="inlineStr">
        <is>
          <t>26</t>
        </is>
      </c>
      <c r="AC5" s="23" t="inlineStr">
        <is>
          <t>27</t>
        </is>
      </c>
      <c r="AD5" s="23" t="inlineStr">
        <is>
          <t>28</t>
        </is>
      </c>
      <c r="AE5" s="23" t="inlineStr">
        <is>
          <t>29</t>
        </is>
      </c>
      <c r="AF5" s="23" t="inlineStr">
        <is>
          <t>30</t>
        </is>
      </c>
      <c r="AG5" s="23" t="inlineStr">
        <is>
          <t>31</t>
        </is>
      </c>
      <c r="AH5" s="8" t="inlineStr">
        <is>
          <t>%</t>
        </is>
      </c>
    </row>
    <row r="6" ht="17" customHeight="1">
      <c r="A6" s="24" t="inlineStr">
        <is>
          <t>Base</t>
        </is>
      </c>
      <c r="B6" s="25" t="inlineStr">
        <is>
          <t>Plan the day: calendar, goals and priorities (10 min)</t>
        </is>
      </c>
      <c r="C6" s="26" t="n"/>
      <c r="D6" s="26" t="n"/>
      <c r="E6" s="26" t="n"/>
      <c r="F6" s="26" t="n"/>
      <c r="G6" s="26" t="n"/>
      <c r="H6" s="26" t="n"/>
      <c r="I6" s="26" t="n"/>
      <c r="J6" s="26" t="n"/>
      <c r="K6" s="26" t="n"/>
      <c r="L6" s="26" t="n"/>
      <c r="M6" s="26" t="n"/>
      <c r="N6" s="26" t="n"/>
      <c r="O6" s="26" t="n"/>
      <c r="P6" s="26" t="n"/>
      <c r="Q6" s="26" t="n"/>
      <c r="R6" s="26" t="n"/>
      <c r="S6" s="26" t="n"/>
      <c r="T6" s="26" t="n"/>
      <c r="U6" s="26" t="n"/>
      <c r="V6" s="26" t="n"/>
      <c r="W6" s="26" t="n"/>
      <c r="X6" s="26" t="n"/>
      <c r="Y6" s="26" t="n"/>
      <c r="Z6" s="26" t="n"/>
      <c r="AA6" s="26" t="n"/>
      <c r="AB6" s="26" t="n"/>
      <c r="AC6" s="26" t="n"/>
      <c r="AD6" s="26" t="n"/>
      <c r="AE6" s="26" t="n"/>
      <c r="AF6" s="26" t="n"/>
      <c r="AG6" s="26" t="n"/>
      <c r="AH6" s="27">
        <f>IFERROR(COUNTIF(C6:AG6,TRUE)/31,0)</f>
        <v/>
      </c>
    </row>
    <row r="7" ht="17" customHeight="1">
      <c r="A7" s="12" t="n"/>
      <c r="B7" s="25" t="inlineStr">
        <is>
          <t>Reply to every new lead within 5 minutes</t>
        </is>
      </c>
      <c r="C7" s="26" t="n"/>
      <c r="D7" s="26" t="n"/>
      <c r="E7" s="26" t="n"/>
      <c r="F7" s="26" t="n"/>
      <c r="G7" s="26" t="n"/>
      <c r="H7" s="26" t="n"/>
      <c r="I7" s="26" t="n"/>
      <c r="J7" s="26" t="n"/>
      <c r="K7" s="26" t="n"/>
      <c r="L7" s="26" t="n"/>
      <c r="M7" s="26" t="n"/>
      <c r="N7" s="26" t="n"/>
      <c r="O7" s="26" t="n"/>
      <c r="P7" s="26" t="n"/>
      <c r="Q7" s="26" t="n"/>
      <c r="R7" s="26" t="n"/>
      <c r="S7" s="26" t="n"/>
      <c r="T7" s="26" t="n"/>
      <c r="U7" s="26" t="n"/>
      <c r="V7" s="26" t="n"/>
      <c r="W7" s="26" t="n"/>
      <c r="X7" s="26" t="n"/>
      <c r="Y7" s="26" t="n"/>
      <c r="Z7" s="26" t="n"/>
      <c r="AA7" s="26" t="n"/>
      <c r="AB7" s="26" t="n"/>
      <c r="AC7" s="26" t="n"/>
      <c r="AD7" s="26" t="n"/>
      <c r="AE7" s="26" t="n"/>
      <c r="AF7" s="26" t="n"/>
      <c r="AG7" s="26" t="n"/>
      <c r="AH7" s="27">
        <f>IFERROR(COUNTIF(C7:AG7,TRUE)/31,0)</f>
        <v/>
      </c>
    </row>
    <row r="8" ht="17" customHeight="1">
      <c r="A8" s="24" t="inlineStr">
        <is>
          <t>Prospecting</t>
        </is>
      </c>
      <c r="B8" s="25" t="inlineStr">
        <is>
          <t>Hit the day's outreach target (15 to 25)</t>
        </is>
      </c>
      <c r="C8" s="26" t="n"/>
      <c r="D8" s="26" t="n"/>
      <c r="E8" s="26" t="n"/>
      <c r="F8" s="26" t="n"/>
      <c r="G8" s="26" t="n"/>
      <c r="H8" s="26" t="n"/>
      <c r="I8" s="26" t="n"/>
      <c r="J8" s="26" t="n"/>
      <c r="K8" s="26" t="n"/>
      <c r="L8" s="26" t="n"/>
      <c r="M8" s="26" t="n"/>
      <c r="N8" s="26" t="n"/>
      <c r="O8" s="26" t="n"/>
      <c r="P8" s="26" t="n"/>
      <c r="Q8" s="26" t="n"/>
      <c r="R8" s="26" t="n"/>
      <c r="S8" s="26" t="n"/>
      <c r="T8" s="26" t="n"/>
      <c r="U8" s="26" t="n"/>
      <c r="V8" s="26" t="n"/>
      <c r="W8" s="26" t="n"/>
      <c r="X8" s="26" t="n"/>
      <c r="Y8" s="26" t="n"/>
      <c r="Z8" s="26" t="n"/>
      <c r="AA8" s="26" t="n"/>
      <c r="AB8" s="26" t="n"/>
      <c r="AC8" s="26" t="n"/>
      <c r="AD8" s="26" t="n"/>
      <c r="AE8" s="26" t="n"/>
      <c r="AF8" s="26" t="n"/>
      <c r="AG8" s="26" t="n"/>
      <c r="AH8" s="27">
        <f>IFERROR(COUNTIF(C8:AG8,TRUE)/31,0)</f>
        <v/>
      </c>
    </row>
    <row r="9" ht="17" customHeight="1">
      <c r="A9" s="12" t="n"/>
      <c r="B9" s="25" t="inlineStr">
        <is>
          <t>Run the D1-D12 cadence follow-ups</t>
        </is>
      </c>
      <c r="C9" s="26" t="n"/>
      <c r="D9" s="26" t="n"/>
      <c r="E9" s="26" t="n"/>
      <c r="F9" s="26" t="n"/>
      <c r="G9" s="26" t="n"/>
      <c r="H9" s="26" t="n"/>
      <c r="I9" s="26" t="n"/>
      <c r="J9" s="26" t="n"/>
      <c r="K9" s="26" t="n"/>
      <c r="L9" s="26" t="n"/>
      <c r="M9" s="26" t="n"/>
      <c r="N9" s="26" t="n"/>
      <c r="O9" s="26" t="n"/>
      <c r="P9" s="26" t="n"/>
      <c r="Q9" s="26" t="n"/>
      <c r="R9" s="26" t="n"/>
      <c r="S9" s="26" t="n"/>
      <c r="T9" s="26" t="n"/>
      <c r="U9" s="26" t="n"/>
      <c r="V9" s="26" t="n"/>
      <c r="W9" s="26" t="n"/>
      <c r="X9" s="26" t="n"/>
      <c r="Y9" s="26" t="n"/>
      <c r="Z9" s="26" t="n"/>
      <c r="AA9" s="26" t="n"/>
      <c r="AB9" s="26" t="n"/>
      <c r="AC9" s="26" t="n"/>
      <c r="AD9" s="26" t="n"/>
      <c r="AE9" s="26" t="n"/>
      <c r="AF9" s="26" t="n"/>
      <c r="AG9" s="26" t="n"/>
      <c r="AH9" s="27">
        <f>IFERROR(COUNTIF(C9:AG9,TRUE)/31,0)</f>
        <v/>
      </c>
    </row>
    <row r="10" ht="17" customHeight="1">
      <c r="A10" s="12" t="n"/>
      <c r="B10" s="25" t="inlineStr">
        <is>
          <t>Social selling: interactions and DMs (Instagram/LinkedIn)</t>
        </is>
      </c>
      <c r="C10" s="26" t="n"/>
      <c r="D10" s="26" t="n"/>
      <c r="E10" s="26" t="n"/>
      <c r="F10" s="26" t="n"/>
      <c r="G10" s="26" t="n"/>
      <c r="H10" s="26" t="n"/>
      <c r="I10" s="26" t="n"/>
      <c r="J10" s="26" t="n"/>
      <c r="K10" s="26" t="n"/>
      <c r="L10" s="26" t="n"/>
      <c r="M10" s="26" t="n"/>
      <c r="N10" s="26" t="n"/>
      <c r="O10" s="26" t="n"/>
      <c r="P10" s="26" t="n"/>
      <c r="Q10" s="26" t="n"/>
      <c r="R10" s="26" t="n"/>
      <c r="S10" s="26" t="n"/>
      <c r="T10" s="26" t="n"/>
      <c r="U10" s="26" t="n"/>
      <c r="V10" s="26" t="n"/>
      <c r="W10" s="26" t="n"/>
      <c r="X10" s="26" t="n"/>
      <c r="Y10" s="26" t="n"/>
      <c r="Z10" s="26" t="n"/>
      <c r="AA10" s="26" t="n"/>
      <c r="AB10" s="26" t="n"/>
      <c r="AC10" s="26" t="n"/>
      <c r="AD10" s="26" t="n"/>
      <c r="AE10" s="26" t="n"/>
      <c r="AF10" s="26" t="n"/>
      <c r="AG10" s="26" t="n"/>
      <c r="AH10" s="27">
        <f>IFERROR(COUNTIF(C10:AG10,TRUE)/31,0)</f>
        <v/>
      </c>
    </row>
    <row r="11" ht="17" customHeight="1">
      <c r="A11" s="24" t="inlineStr">
        <is>
          <t>Booking</t>
        </is>
      </c>
      <c r="B11" s="25" t="inlineStr">
        <is>
          <t>Qualify leads and book meetings</t>
        </is>
      </c>
      <c r="C11" s="26" t="n"/>
      <c r="D11" s="26" t="n"/>
      <c r="E11" s="26" t="n"/>
      <c r="F11" s="26" t="n"/>
      <c r="G11" s="26" t="n"/>
      <c r="H11" s="26" t="n"/>
      <c r="I11" s="26" t="n"/>
      <c r="J11" s="26" t="n"/>
      <c r="K11" s="26" t="n"/>
      <c r="L11" s="26" t="n"/>
      <c r="M11" s="26" t="n"/>
      <c r="N11" s="26" t="n"/>
      <c r="O11" s="26" t="n"/>
      <c r="P11" s="26" t="n"/>
      <c r="Q11" s="26" t="n"/>
      <c r="R11" s="26" t="n"/>
      <c r="S11" s="26" t="n"/>
      <c r="T11" s="26" t="n"/>
      <c r="U11" s="26" t="n"/>
      <c r="V11" s="26" t="n"/>
      <c r="W11" s="26" t="n"/>
      <c r="X11" s="26" t="n"/>
      <c r="Y11" s="26" t="n"/>
      <c r="Z11" s="26" t="n"/>
      <c r="AA11" s="26" t="n"/>
      <c r="AB11" s="26" t="n"/>
      <c r="AC11" s="26" t="n"/>
      <c r="AD11" s="26" t="n"/>
      <c r="AE11" s="26" t="n"/>
      <c r="AF11" s="26" t="n"/>
      <c r="AG11" s="26" t="n"/>
      <c r="AH11" s="27">
        <f>IFERROR(COUNTIF(C11:AG11,TRUE)/31,0)</f>
        <v/>
      </c>
    </row>
    <row r="12" ht="17" customHeight="1">
      <c r="A12" s="12" t="n"/>
      <c r="B12" s="25" t="inlineStr">
        <is>
          <t>Confirm tomorrow's meetings (anti no-show)</t>
        </is>
      </c>
      <c r="C12" s="26" t="n"/>
      <c r="D12" s="26" t="n"/>
      <c r="E12" s="26" t="n"/>
      <c r="F12" s="26" t="n"/>
      <c r="G12" s="26" t="n"/>
      <c r="H12" s="26" t="n"/>
      <c r="I12" s="26" t="n"/>
      <c r="J12" s="26" t="n"/>
      <c r="K12" s="26" t="n"/>
      <c r="L12" s="26" t="n"/>
      <c r="M12" s="26" t="n"/>
      <c r="N12" s="26" t="n"/>
      <c r="O12" s="26" t="n"/>
      <c r="P12" s="26" t="n"/>
      <c r="Q12" s="26" t="n"/>
      <c r="R12" s="26" t="n"/>
      <c r="S12" s="26" t="n"/>
      <c r="T12" s="26" t="n"/>
      <c r="U12" s="26" t="n"/>
      <c r="V12" s="26" t="n"/>
      <c r="W12" s="26" t="n"/>
      <c r="X12" s="26" t="n"/>
      <c r="Y12" s="26" t="n"/>
      <c r="Z12" s="26" t="n"/>
      <c r="AA12" s="26" t="n"/>
      <c r="AB12" s="26" t="n"/>
      <c r="AC12" s="26" t="n"/>
      <c r="AD12" s="26" t="n"/>
      <c r="AE12" s="26" t="n"/>
      <c r="AF12" s="26" t="n"/>
      <c r="AG12" s="26" t="n"/>
      <c r="AH12" s="27">
        <f>IFERROR(COUNTIF(C12:AG12,TRUE)/31,0)</f>
        <v/>
      </c>
    </row>
    <row r="13" ht="17" customHeight="1">
      <c r="A13" s="24" t="inlineStr">
        <is>
          <t>CRM</t>
        </is>
      </c>
      <c r="B13" s="25" t="inlineStr">
        <is>
          <t>Update the CRM in real time (every lead has a next task)</t>
        </is>
      </c>
      <c r="C13" s="26" t="n"/>
      <c r="D13" s="26" t="n"/>
      <c r="E13" s="26" t="n"/>
      <c r="F13" s="26" t="n"/>
      <c r="G13" s="26" t="n"/>
      <c r="H13" s="26" t="n"/>
      <c r="I13" s="26" t="n"/>
      <c r="J13" s="26" t="n"/>
      <c r="K13" s="26" t="n"/>
      <c r="L13" s="26" t="n"/>
      <c r="M13" s="26" t="n"/>
      <c r="N13" s="26" t="n"/>
      <c r="O13" s="26" t="n"/>
      <c r="P13" s="26" t="n"/>
      <c r="Q13" s="26" t="n"/>
      <c r="R13" s="26" t="n"/>
      <c r="S13" s="26" t="n"/>
      <c r="T13" s="26" t="n"/>
      <c r="U13" s="26" t="n"/>
      <c r="V13" s="26" t="n"/>
      <c r="W13" s="26" t="n"/>
      <c r="X13" s="26" t="n"/>
      <c r="Y13" s="26" t="n"/>
      <c r="Z13" s="26" t="n"/>
      <c r="AA13" s="26" t="n"/>
      <c r="AB13" s="26" t="n"/>
      <c r="AC13" s="26" t="n"/>
      <c r="AD13" s="26" t="n"/>
      <c r="AE13" s="26" t="n"/>
      <c r="AF13" s="26" t="n"/>
      <c r="AG13" s="26" t="n"/>
      <c r="AH13" s="27">
        <f>IFERROR(COUNTIF(C13:AG13,TRUE)/31,0)</f>
        <v/>
      </c>
    </row>
    <row r="14" ht="17" customHeight="1">
      <c r="A14" s="12" t="n"/>
      <c r="B14" s="25" t="inlineStr">
        <is>
          <t>Log objections and questions in the Objections tab</t>
        </is>
      </c>
      <c r="C14" s="26" t="n"/>
      <c r="D14" s="26" t="n"/>
      <c r="E14" s="26" t="n"/>
      <c r="F14" s="26" t="n"/>
      <c r="G14" s="26" t="n"/>
      <c r="H14" s="26" t="n"/>
      <c r="I14" s="26" t="n"/>
      <c r="J14" s="26" t="n"/>
      <c r="K14" s="26" t="n"/>
      <c r="L14" s="26" t="n"/>
      <c r="M14" s="26" t="n"/>
      <c r="N14" s="26" t="n"/>
      <c r="O14" s="26" t="n"/>
      <c r="P14" s="26" t="n"/>
      <c r="Q14" s="26" t="n"/>
      <c r="R14" s="26" t="n"/>
      <c r="S14" s="26" t="n"/>
      <c r="T14" s="26" t="n"/>
      <c r="U14" s="26" t="n"/>
      <c r="V14" s="26" t="n"/>
      <c r="W14" s="26" t="n"/>
      <c r="X14" s="26" t="n"/>
      <c r="Y14" s="26" t="n"/>
      <c r="Z14" s="26" t="n"/>
      <c r="AA14" s="26" t="n"/>
      <c r="AB14" s="26" t="n"/>
      <c r="AC14" s="26" t="n"/>
      <c r="AD14" s="26" t="n"/>
      <c r="AE14" s="26" t="n"/>
      <c r="AF14" s="26" t="n"/>
      <c r="AG14" s="26" t="n"/>
      <c r="AH14" s="27">
        <f>IFERROR(COUNTIF(C14:AG14,TRUE)/31,0)</f>
        <v/>
      </c>
    </row>
    <row r="15" ht="17" customHeight="1">
      <c r="A15" s="24" t="inlineStr">
        <is>
          <t>Growth</t>
        </is>
      </c>
      <c r="B15" s="25" t="inlineStr">
        <is>
          <t>Listen to 1 call and note 1 improvement</t>
        </is>
      </c>
      <c r="C15" s="26" t="n"/>
      <c r="D15" s="26" t="n"/>
      <c r="E15" s="26" t="n"/>
      <c r="F15" s="26" t="n"/>
      <c r="G15" s="26" t="n"/>
      <c r="H15" s="26" t="n"/>
      <c r="I15" s="26" t="n"/>
      <c r="J15" s="26" t="n"/>
      <c r="K15" s="26" t="n"/>
      <c r="L15" s="26" t="n"/>
      <c r="M15" s="26" t="n"/>
      <c r="N15" s="26" t="n"/>
      <c r="O15" s="26" t="n"/>
      <c r="P15" s="26" t="n"/>
      <c r="Q15" s="26" t="n"/>
      <c r="R15" s="26" t="n"/>
      <c r="S15" s="26" t="n"/>
      <c r="T15" s="26" t="n"/>
      <c r="U15" s="26" t="n"/>
      <c r="V15" s="26" t="n"/>
      <c r="W15" s="26" t="n"/>
      <c r="X15" s="26" t="n"/>
      <c r="Y15" s="26" t="n"/>
      <c r="Z15" s="26" t="n"/>
      <c r="AA15" s="26" t="n"/>
      <c r="AB15" s="26" t="n"/>
      <c r="AC15" s="26" t="n"/>
      <c r="AD15" s="26" t="n"/>
      <c r="AE15" s="26" t="n"/>
      <c r="AF15" s="26" t="n"/>
      <c r="AG15" s="26" t="n"/>
      <c r="AH15" s="27">
        <f>IFERROR(COUNTIF(C15:AG15,TRUE)/31,0)</f>
        <v/>
      </c>
    </row>
    <row r="16" ht="17" customHeight="1">
      <c r="A16" s="12" t="n"/>
      <c r="B16" s="25" t="inlineStr">
        <is>
          <t>Study 10 min (script, ICP, product)</t>
        </is>
      </c>
      <c r="C16" s="26" t="n"/>
      <c r="D16" s="26" t="n"/>
      <c r="E16" s="26" t="n"/>
      <c r="F16" s="26" t="n"/>
      <c r="G16" s="26" t="n"/>
      <c r="H16" s="26" t="n"/>
      <c r="I16" s="26" t="n"/>
      <c r="J16" s="26" t="n"/>
      <c r="K16" s="26" t="n"/>
      <c r="L16" s="26" t="n"/>
      <c r="M16" s="26" t="n"/>
      <c r="N16" s="26" t="n"/>
      <c r="O16" s="26" t="n"/>
      <c r="P16" s="26" t="n"/>
      <c r="Q16" s="26" t="n"/>
      <c r="R16" s="26" t="n"/>
      <c r="S16" s="26" t="n"/>
      <c r="T16" s="26" t="n"/>
      <c r="U16" s="26" t="n"/>
      <c r="V16" s="26" t="n"/>
      <c r="W16" s="26" t="n"/>
      <c r="X16" s="26" t="n"/>
      <c r="Y16" s="26" t="n"/>
      <c r="Z16" s="26" t="n"/>
      <c r="AA16" s="26" t="n"/>
      <c r="AB16" s="26" t="n"/>
      <c r="AC16" s="26" t="n"/>
      <c r="AD16" s="26" t="n"/>
      <c r="AE16" s="26" t="n"/>
      <c r="AF16" s="26" t="n"/>
      <c r="AG16" s="26" t="n"/>
      <c r="AH16" s="27">
        <f>IFERROR(COUNTIF(C16:AG16,TRUE)/31,0)</f>
        <v/>
      </c>
    </row>
    <row r="17" ht="17" customHeight="1">
      <c r="A17" s="12" t="n"/>
      <c r="B17" s="25" t="inlineStr">
        <is>
          <t>Close the day: clean pipeline and tomorrow's plan</t>
        </is>
      </c>
      <c r="C17" s="26" t="n"/>
      <c r="D17" s="26" t="n"/>
      <c r="E17" s="26" t="n"/>
      <c r="F17" s="26" t="n"/>
      <c r="G17" s="26" t="n"/>
      <c r="H17" s="26" t="n"/>
      <c r="I17" s="26" t="n"/>
      <c r="J17" s="26" t="n"/>
      <c r="K17" s="26" t="n"/>
      <c r="L17" s="26" t="n"/>
      <c r="M17" s="26" t="n"/>
      <c r="N17" s="26" t="n"/>
      <c r="O17" s="26" t="n"/>
      <c r="P17" s="26" t="n"/>
      <c r="Q17" s="26" t="n"/>
      <c r="R17" s="26" t="n"/>
      <c r="S17" s="26" t="n"/>
      <c r="T17" s="26" t="n"/>
      <c r="U17" s="26" t="n"/>
      <c r="V17" s="26" t="n"/>
      <c r="W17" s="26" t="n"/>
      <c r="X17" s="26" t="n"/>
      <c r="Y17" s="26" t="n"/>
      <c r="Z17" s="26" t="n"/>
      <c r="AA17" s="26" t="n"/>
      <c r="AB17" s="26" t="n"/>
      <c r="AC17" s="26" t="n"/>
      <c r="AD17" s="26" t="n"/>
      <c r="AE17" s="26" t="n"/>
      <c r="AF17" s="26" t="n"/>
      <c r="AG17" s="26" t="n"/>
      <c r="AH17" s="27">
        <f>IFERROR(COUNTIF(C17:AG17,TRUE)/31,0)</f>
        <v/>
      </c>
    </row>
    <row r="18">
      <c r="A18" s="12" t="n"/>
      <c r="B18" s="21" t="inlineStr">
        <is>
          <t>% of day / period</t>
        </is>
      </c>
      <c r="C18" s="27">
        <f>IFERROR(COUNTIF(C6:C17,TRUE)/12,0)</f>
        <v/>
      </c>
      <c r="D18" s="27">
        <f>IFERROR(COUNTIF(D6:D17,TRUE)/12,0)</f>
        <v/>
      </c>
      <c r="E18" s="27">
        <f>IFERROR(COUNTIF(E6:E17,TRUE)/12,0)</f>
        <v/>
      </c>
      <c r="F18" s="27">
        <f>IFERROR(COUNTIF(F6:F17,TRUE)/12,0)</f>
        <v/>
      </c>
      <c r="G18" s="27">
        <f>IFERROR(COUNTIF(G6:G17,TRUE)/12,0)</f>
        <v/>
      </c>
      <c r="H18" s="27">
        <f>IFERROR(COUNTIF(H6:H17,TRUE)/12,0)</f>
        <v/>
      </c>
      <c r="I18" s="27">
        <f>IFERROR(COUNTIF(I6:I17,TRUE)/12,0)</f>
        <v/>
      </c>
      <c r="J18" s="27">
        <f>IFERROR(COUNTIF(J6:J17,TRUE)/12,0)</f>
        <v/>
      </c>
      <c r="K18" s="27">
        <f>IFERROR(COUNTIF(K6:K17,TRUE)/12,0)</f>
        <v/>
      </c>
      <c r="L18" s="27">
        <f>IFERROR(COUNTIF(L6:L17,TRUE)/12,0)</f>
        <v/>
      </c>
      <c r="M18" s="27">
        <f>IFERROR(COUNTIF(M6:M17,TRUE)/12,0)</f>
        <v/>
      </c>
      <c r="N18" s="27">
        <f>IFERROR(COUNTIF(N6:N17,TRUE)/12,0)</f>
        <v/>
      </c>
      <c r="O18" s="27">
        <f>IFERROR(COUNTIF(O6:O17,TRUE)/12,0)</f>
        <v/>
      </c>
      <c r="P18" s="27">
        <f>IFERROR(COUNTIF(P6:P17,TRUE)/12,0)</f>
        <v/>
      </c>
      <c r="Q18" s="27">
        <f>IFERROR(COUNTIF(Q6:Q17,TRUE)/12,0)</f>
        <v/>
      </c>
      <c r="R18" s="27">
        <f>IFERROR(COUNTIF(R6:R17,TRUE)/12,0)</f>
        <v/>
      </c>
      <c r="S18" s="27">
        <f>IFERROR(COUNTIF(S6:S17,TRUE)/12,0)</f>
        <v/>
      </c>
      <c r="T18" s="27">
        <f>IFERROR(COUNTIF(T6:T17,TRUE)/12,0)</f>
        <v/>
      </c>
      <c r="U18" s="27">
        <f>IFERROR(COUNTIF(U6:U17,TRUE)/12,0)</f>
        <v/>
      </c>
      <c r="V18" s="27">
        <f>IFERROR(COUNTIF(V6:V17,TRUE)/12,0)</f>
        <v/>
      </c>
      <c r="W18" s="27">
        <f>IFERROR(COUNTIF(W6:W17,TRUE)/12,0)</f>
        <v/>
      </c>
      <c r="X18" s="27">
        <f>IFERROR(COUNTIF(X6:X17,TRUE)/12,0)</f>
        <v/>
      </c>
      <c r="Y18" s="27">
        <f>IFERROR(COUNTIF(Y6:Y17,TRUE)/12,0)</f>
        <v/>
      </c>
      <c r="Z18" s="27">
        <f>IFERROR(COUNTIF(Z6:Z17,TRUE)/12,0)</f>
        <v/>
      </c>
      <c r="AA18" s="27">
        <f>IFERROR(COUNTIF(AA6:AA17,TRUE)/12,0)</f>
        <v/>
      </c>
      <c r="AB18" s="27">
        <f>IFERROR(COUNTIF(AB6:AB17,TRUE)/12,0)</f>
        <v/>
      </c>
      <c r="AC18" s="27">
        <f>IFERROR(COUNTIF(AC6:AC17,TRUE)/12,0)</f>
        <v/>
      </c>
      <c r="AD18" s="27">
        <f>IFERROR(COUNTIF(AD6:AD17,TRUE)/12,0)</f>
        <v/>
      </c>
      <c r="AE18" s="27">
        <f>IFERROR(COUNTIF(AE6:AE17,TRUE)/12,0)</f>
        <v/>
      </c>
      <c r="AF18" s="27">
        <f>IFERROR(COUNTIF(AF6:AF17,TRUE)/12,0)</f>
        <v/>
      </c>
      <c r="AG18" s="27">
        <f>IFERROR(COUNTIF(AG6:AG17,TRUE)/12,0)</f>
        <v/>
      </c>
      <c r="AH18" s="28">
        <f>IFERROR(COUNTIF(C6:AG17,TRUE)/372,0)</f>
        <v/>
      </c>
    </row>
  </sheetData>
  <mergeCells count="8">
    <mergeCell ref="A8:A10"/>
    <mergeCell ref="A2:AH2"/>
    <mergeCell ref="A13:A14"/>
    <mergeCell ref="A15:A17"/>
    <mergeCell ref="A1:AH1"/>
    <mergeCell ref="A6:A7"/>
    <mergeCell ref="A11:A12"/>
    <mergeCell ref="A4:AH4"/>
  </mergeCells>
  <conditionalFormatting sqref="C18:AG18">
    <cfRule type="colorScale" priority="1">
      <colorScale>
        <cfvo type="num" val="0"/>
        <cfvo type="num" val="0.6"/>
        <cfvo type="num" val="1"/>
        <color rgb="00F4C7C3"/>
        <color rgb="00FCE8B2"/>
        <color rgb="00B7E1CD"/>
      </colorScale>
    </cfRule>
  </conditionalFormatting>
  <conditionalFormatting sqref="AH6:AH17">
    <cfRule type="colorScale" priority="2">
      <colorScale>
        <cfvo type="num" val="0"/>
        <cfvo type="num" val="0.6"/>
        <cfvo type="num" val="1"/>
        <color rgb="00F4C7C3"/>
        <color rgb="00FCE8B2"/>
        <color rgb="00B7E1CD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cols>
    <col width="4.5" customWidth="1" min="1" max="1"/>
    <col width="52" customWidth="1" min="2" max="2"/>
    <col width="5.4" customWidth="1" min="3" max="3"/>
    <col width="5.4" customWidth="1" min="4" max="4"/>
    <col width="5.4" customWidth="1" min="5" max="5"/>
    <col width="5.4" customWidth="1" min="6" max="6"/>
    <col width="5.4" customWidth="1" min="7" max="7"/>
    <col width="5.4" customWidth="1" min="8" max="8"/>
    <col width="5.4" customWidth="1" min="9" max="9"/>
    <col width="5.4" customWidth="1" min="10" max="10"/>
    <col width="5.4" customWidth="1" min="11" max="11"/>
    <col width="5.4" customWidth="1" min="12" max="12"/>
    <col width="5.4" customWidth="1" min="13" max="13"/>
    <col width="5.4" customWidth="1" min="14" max="14"/>
    <col width="7" customWidth="1" min="15" max="15"/>
  </cols>
  <sheetData>
    <row r="1" ht="30" customHeight="1">
      <c r="A1" s="1" t="inlineStr">
        <is>
          <t>Weekly &amp; Monthly Routine · SDR (Pre-sales)</t>
        </is>
      </c>
    </row>
    <row r="2" ht="16" customHeight="1">
      <c r="A2" s="2" t="inlineStr">
        <is>
          <t>Top-performer rituals. Check off each week and each month.</t>
        </is>
      </c>
    </row>
    <row r="4" ht="20" customHeight="1">
      <c r="A4" s="3" t="inlineStr">
        <is>
          <t>WEEKLY ROUTINE (5 WEEKS)</t>
        </is>
      </c>
    </row>
    <row r="5" ht="18" customHeight="1">
      <c r="A5" s="8" t="inlineStr">
        <is>
          <t>Block</t>
        </is>
      </c>
      <c r="B5" s="8" t="inlineStr">
        <is>
          <t>Task</t>
        </is>
      </c>
      <c r="C5" s="23" t="inlineStr">
        <is>
          <t>Wk 1</t>
        </is>
      </c>
      <c r="D5" s="23" t="inlineStr">
        <is>
          <t>Wk 2</t>
        </is>
      </c>
      <c r="E5" s="23" t="inlineStr">
        <is>
          <t>Wk 3</t>
        </is>
      </c>
      <c r="F5" s="23" t="inlineStr">
        <is>
          <t>Wk 4</t>
        </is>
      </c>
      <c r="G5" s="23" t="inlineStr">
        <is>
          <t>Wk 5</t>
        </is>
      </c>
      <c r="H5" s="8" t="inlineStr">
        <is>
          <t>%</t>
        </is>
      </c>
    </row>
    <row r="6" ht="17" customHeight="1">
      <c r="A6" s="24" t="inlineStr">
        <is>
          <t>Week</t>
        </is>
      </c>
      <c r="B6" s="25" t="inlineStr">
        <is>
          <t>Review the week's metrics (outreach, bookings, rates)</t>
        </is>
      </c>
      <c r="C6" s="26" t="n"/>
      <c r="D6" s="26" t="n"/>
      <c r="E6" s="26" t="n"/>
      <c r="F6" s="26" t="n"/>
      <c r="G6" s="26" t="n"/>
      <c r="H6" s="27">
        <f>IFERROR(COUNTIF(C6:G6,TRUE)/5,0)</f>
        <v/>
      </c>
    </row>
    <row r="7" ht="17" customHeight="1">
      <c r="A7" s="12" t="n"/>
      <c r="B7" s="25" t="inlineStr">
        <is>
          <t>Clean and enrich the lead list (ICP)</t>
        </is>
      </c>
      <c r="C7" s="26" t="n"/>
      <c r="D7" s="26" t="n"/>
      <c r="E7" s="26" t="n"/>
      <c r="F7" s="26" t="n"/>
      <c r="G7" s="26" t="n"/>
      <c r="H7" s="27">
        <f>IFERROR(COUNTIF(C7:G7,TRUE)/5,0)</f>
        <v/>
      </c>
    </row>
    <row r="8" ht="17" customHeight="1">
      <c r="A8" s="12" t="n"/>
      <c r="B8" s="25" t="inlineStr">
        <is>
          <t>Role-play your opener with a manager or peer</t>
        </is>
      </c>
      <c r="C8" s="26" t="n"/>
      <c r="D8" s="26" t="n"/>
      <c r="E8" s="26" t="n"/>
      <c r="F8" s="26" t="n"/>
      <c r="G8" s="26" t="n"/>
      <c r="H8" s="27">
        <f>IFERROR(COUNTIF(C8:G8,TRUE)/5,0)</f>
        <v/>
      </c>
    </row>
    <row r="9" ht="17" customHeight="1">
      <c r="A9" s="12" t="n"/>
      <c r="B9" s="25" t="inlineStr">
        <is>
          <t>Adjust scripts based on the week's objections</t>
        </is>
      </c>
      <c r="C9" s="26" t="n"/>
      <c r="D9" s="26" t="n"/>
      <c r="E9" s="26" t="n"/>
      <c r="F9" s="26" t="n"/>
      <c r="G9" s="26" t="n"/>
      <c r="H9" s="27">
        <f>IFERROR(COUNTIF(C9:G9,TRUE)/5,0)</f>
        <v/>
      </c>
    </row>
    <row r="10" ht="17" customHeight="1">
      <c r="A10" s="12" t="n"/>
      <c r="B10" s="25" t="inlineStr">
        <is>
          <t>Sync with the Closer: quality of the bookings</t>
        </is>
      </c>
      <c r="C10" s="26" t="n"/>
      <c r="D10" s="26" t="n"/>
      <c r="E10" s="26" t="n"/>
      <c r="F10" s="26" t="n"/>
      <c r="G10" s="26" t="n"/>
      <c r="H10" s="27">
        <f>IFERROR(COUNTIF(C10:G10,TRUE)/5,0)</f>
        <v/>
      </c>
    </row>
    <row r="11" ht="17" customHeight="1">
      <c r="A11" s="12" t="n"/>
      <c r="B11" s="25" t="inlineStr">
        <is>
          <t>Clear overdue follow-ups</t>
        </is>
      </c>
      <c r="C11" s="26" t="n"/>
      <c r="D11" s="26" t="n"/>
      <c r="E11" s="26" t="n"/>
      <c r="F11" s="26" t="n"/>
      <c r="G11" s="26" t="n"/>
      <c r="H11" s="27">
        <f>IFERROR(COUNTIF(C11:G11,TRUE)/5,0)</f>
        <v/>
      </c>
    </row>
    <row r="12" ht="17" customHeight="1">
      <c r="A12" s="12" t="n"/>
      <c r="B12" s="25" t="inlineStr">
        <is>
          <t>Plan next week (time-block your calendar)</t>
        </is>
      </c>
      <c r="C12" s="26" t="n"/>
      <c r="D12" s="26" t="n"/>
      <c r="E12" s="26" t="n"/>
      <c r="F12" s="26" t="n"/>
      <c r="G12" s="26" t="n"/>
      <c r="H12" s="27">
        <f>IFERROR(COUNTIF(C12:G12,TRUE)/5,0)</f>
        <v/>
      </c>
    </row>
    <row r="13">
      <c r="A13" s="12" t="n"/>
      <c r="B13" s="21" t="inlineStr">
        <is>
          <t>% of day / period</t>
        </is>
      </c>
      <c r="C13" s="27">
        <f>IFERROR(COUNTIF(C6:C12,TRUE)/7,0)</f>
        <v/>
      </c>
      <c r="D13" s="27">
        <f>IFERROR(COUNTIF(D6:D12,TRUE)/7,0)</f>
        <v/>
      </c>
      <c r="E13" s="27">
        <f>IFERROR(COUNTIF(E6:E12,TRUE)/7,0)</f>
        <v/>
      </c>
      <c r="F13" s="27">
        <f>IFERROR(COUNTIF(F6:F12,TRUE)/7,0)</f>
        <v/>
      </c>
      <c r="G13" s="27">
        <f>IFERROR(COUNTIF(G6:G12,TRUE)/7,0)</f>
        <v/>
      </c>
      <c r="H13" s="28">
        <f>IFERROR(COUNTIF(C6:G12,TRUE)/35,0)</f>
        <v/>
      </c>
    </row>
    <row r="15" ht="20" customHeight="1">
      <c r="A15" s="3" t="inlineStr">
        <is>
          <t>MONTHLY ROUTINE (12 MONTHS)</t>
        </is>
      </c>
    </row>
    <row r="16" ht="18" customHeight="1">
      <c r="A16" s="8" t="inlineStr">
        <is>
          <t>Block</t>
        </is>
      </c>
      <c r="B16" s="8" t="inlineStr">
        <is>
          <t>Task</t>
        </is>
      </c>
      <c r="C16" s="23" t="inlineStr">
        <is>
          <t>Jan</t>
        </is>
      </c>
      <c r="D16" s="23" t="inlineStr">
        <is>
          <t>Feb</t>
        </is>
      </c>
      <c r="E16" s="23" t="inlineStr">
        <is>
          <t>Mar</t>
        </is>
      </c>
      <c r="F16" s="23" t="inlineStr">
        <is>
          <t>Apr</t>
        </is>
      </c>
      <c r="G16" s="23" t="inlineStr">
        <is>
          <t>May</t>
        </is>
      </c>
      <c r="H16" s="23" t="inlineStr">
        <is>
          <t>Jun</t>
        </is>
      </c>
      <c r="I16" s="23" t="inlineStr">
        <is>
          <t>Jul</t>
        </is>
      </c>
      <c r="J16" s="23" t="inlineStr">
        <is>
          <t>Aug</t>
        </is>
      </c>
      <c r="K16" s="23" t="inlineStr">
        <is>
          <t>Sep</t>
        </is>
      </c>
      <c r="L16" s="23" t="inlineStr">
        <is>
          <t>Oct</t>
        </is>
      </c>
      <c r="M16" s="23" t="inlineStr">
        <is>
          <t>Nov</t>
        </is>
      </c>
      <c r="N16" s="23" t="inlineStr">
        <is>
          <t>Dec</t>
        </is>
      </c>
      <c r="O16" s="8" t="inlineStr">
        <is>
          <t>%</t>
        </is>
      </c>
    </row>
    <row r="17" ht="17" customHeight="1">
      <c r="A17" s="24" t="inlineStr">
        <is>
          <t>Month</t>
        </is>
      </c>
      <c r="B17" s="25" t="inlineStr">
        <is>
          <t>Close the month's numbers against goal</t>
        </is>
      </c>
      <c r="C17" s="26" t="n"/>
      <c r="D17" s="26" t="n"/>
      <c r="E17" s="26" t="n"/>
      <c r="F17" s="26" t="n"/>
      <c r="G17" s="26" t="n"/>
      <c r="H17" s="26" t="n"/>
      <c r="I17" s="26" t="n"/>
      <c r="J17" s="26" t="n"/>
      <c r="K17" s="26" t="n"/>
      <c r="L17" s="26" t="n"/>
      <c r="M17" s="26" t="n"/>
      <c r="N17" s="26" t="n"/>
      <c r="O17" s="27">
        <f>IFERROR(COUNTIF(C17:N17,TRUE)/12,0)</f>
        <v/>
      </c>
    </row>
    <row r="18" ht="17" customHeight="1">
      <c r="A18" s="12" t="n"/>
      <c r="B18" s="25" t="inlineStr">
        <is>
          <t>CRM audit (stages, fields, loss reasons)</t>
        </is>
      </c>
      <c r="C18" s="26" t="n"/>
      <c r="D18" s="26" t="n"/>
      <c r="E18" s="26" t="n"/>
      <c r="F18" s="26" t="n"/>
      <c r="G18" s="26" t="n"/>
      <c r="H18" s="26" t="n"/>
      <c r="I18" s="26" t="n"/>
      <c r="J18" s="26" t="n"/>
      <c r="K18" s="26" t="n"/>
      <c r="L18" s="26" t="n"/>
      <c r="M18" s="26" t="n"/>
      <c r="N18" s="26" t="n"/>
      <c r="O18" s="27">
        <f>IFERROR(COUNTIF(C18:N18,TRUE)/12,0)</f>
        <v/>
      </c>
    </row>
    <row r="19" ht="17" customHeight="1">
      <c r="A19" s="12" t="n"/>
      <c r="B19" s="25" t="inlineStr">
        <is>
          <t>Update ICP and lists with what you learned</t>
        </is>
      </c>
      <c r="C19" s="26" t="n"/>
      <c r="D19" s="26" t="n"/>
      <c r="E19" s="26" t="n"/>
      <c r="F19" s="26" t="n"/>
      <c r="G19" s="26" t="n"/>
      <c r="H19" s="26" t="n"/>
      <c r="I19" s="26" t="n"/>
      <c r="J19" s="26" t="n"/>
      <c r="K19" s="26" t="n"/>
      <c r="L19" s="26" t="n"/>
      <c r="M19" s="26" t="n"/>
      <c r="N19" s="26" t="n"/>
      <c r="O19" s="27">
        <f>IFERROR(COUNTIF(C19:N19,TRUE)/12,0)</f>
        <v/>
      </c>
    </row>
    <row r="20" ht="17" customHeight="1">
      <c r="A20" s="12" t="n"/>
      <c r="B20" s="25" t="inlineStr">
        <is>
          <t>Review the cadence: what to keep and what to change</t>
        </is>
      </c>
      <c r="C20" s="26" t="n"/>
      <c r="D20" s="26" t="n"/>
      <c r="E20" s="26" t="n"/>
      <c r="F20" s="26" t="n"/>
      <c r="G20" s="26" t="n"/>
      <c r="H20" s="26" t="n"/>
      <c r="I20" s="26" t="n"/>
      <c r="J20" s="26" t="n"/>
      <c r="K20" s="26" t="n"/>
      <c r="L20" s="26" t="n"/>
      <c r="M20" s="26" t="n"/>
      <c r="N20" s="26" t="n"/>
      <c r="O20" s="27">
        <f>IFERROR(COUNTIF(C20:N20,TRUE)/12,0)</f>
        <v/>
      </c>
    </row>
    <row r="21" ht="17" customHeight="1">
      <c r="A21" s="12" t="n"/>
      <c r="B21" s="25" t="inlineStr">
        <is>
          <t>1:1 with your manager: feedback and growth plan</t>
        </is>
      </c>
      <c r="C21" s="26" t="n"/>
      <c r="D21" s="26" t="n"/>
      <c r="E21" s="26" t="n"/>
      <c r="F21" s="26" t="n"/>
      <c r="G21" s="26" t="n"/>
      <c r="H21" s="26" t="n"/>
      <c r="I21" s="26" t="n"/>
      <c r="J21" s="26" t="n"/>
      <c r="K21" s="26" t="n"/>
      <c r="L21" s="26" t="n"/>
      <c r="M21" s="26" t="n"/>
      <c r="N21" s="26" t="n"/>
      <c r="O21" s="27">
        <f>IFERROR(COUNTIF(C21:N21,TRUE)/12,0)</f>
        <v/>
      </c>
    </row>
    <row r="22" ht="17" customHeight="1">
      <c r="A22" s="12" t="n"/>
      <c r="B22" s="25" t="inlineStr">
        <is>
          <t>Update the team's objection matrix</t>
        </is>
      </c>
      <c r="C22" s="26" t="n"/>
      <c r="D22" s="26" t="n"/>
      <c r="E22" s="26" t="n"/>
      <c r="F22" s="26" t="n"/>
      <c r="G22" s="26" t="n"/>
      <c r="H22" s="26" t="n"/>
      <c r="I22" s="26" t="n"/>
      <c r="J22" s="26" t="n"/>
      <c r="K22" s="26" t="n"/>
      <c r="L22" s="26" t="n"/>
      <c r="M22" s="26" t="n"/>
      <c r="N22" s="26" t="n"/>
      <c r="O22" s="27">
        <f>IFERROR(COUNTIF(C22:N22,TRUE)/12,0)</f>
        <v/>
      </c>
    </row>
    <row r="23">
      <c r="A23" s="12" t="n"/>
      <c r="B23" s="21" t="inlineStr">
        <is>
          <t>% of day / period</t>
        </is>
      </c>
      <c r="C23" s="27">
        <f>IFERROR(COUNTIF(C17:C22,TRUE)/6,0)</f>
        <v/>
      </c>
      <c r="D23" s="27">
        <f>IFERROR(COUNTIF(D17:D22,TRUE)/6,0)</f>
        <v/>
      </c>
      <c r="E23" s="27">
        <f>IFERROR(COUNTIF(E17:E22,TRUE)/6,0)</f>
        <v/>
      </c>
      <c r="F23" s="27">
        <f>IFERROR(COUNTIF(F17:F22,TRUE)/6,0)</f>
        <v/>
      </c>
      <c r="G23" s="27">
        <f>IFERROR(COUNTIF(G17:G22,TRUE)/6,0)</f>
        <v/>
      </c>
      <c r="H23" s="27">
        <f>IFERROR(COUNTIF(H17:H22,TRUE)/6,0)</f>
        <v/>
      </c>
      <c r="I23" s="27">
        <f>IFERROR(COUNTIF(I17:I22,TRUE)/6,0)</f>
        <v/>
      </c>
      <c r="J23" s="27">
        <f>IFERROR(COUNTIF(J17:J22,TRUE)/6,0)</f>
        <v/>
      </c>
      <c r="K23" s="27">
        <f>IFERROR(COUNTIF(K17:K22,TRUE)/6,0)</f>
        <v/>
      </c>
      <c r="L23" s="27">
        <f>IFERROR(COUNTIF(L17:L22,TRUE)/6,0)</f>
        <v/>
      </c>
      <c r="M23" s="27">
        <f>IFERROR(COUNTIF(M17:M22,TRUE)/6,0)</f>
        <v/>
      </c>
      <c r="N23" s="27">
        <f>IFERROR(COUNTIF(N17:N22,TRUE)/6,0)</f>
        <v/>
      </c>
      <c r="O23" s="28">
        <f>IFERROR(COUNTIF(C17:N22,TRUE)/72,0)</f>
        <v/>
      </c>
    </row>
  </sheetData>
  <mergeCells count="6">
    <mergeCell ref="A15:O15"/>
    <mergeCell ref="A17:A22"/>
    <mergeCell ref="A2:O2"/>
    <mergeCell ref="A1:O1"/>
    <mergeCell ref="A6:A12"/>
    <mergeCell ref="A4:O4"/>
  </mergeCells>
  <conditionalFormatting sqref="C13:G13">
    <cfRule type="colorScale" priority="1">
      <colorScale>
        <cfvo type="num" val="0"/>
        <cfvo type="num" val="0.6"/>
        <cfvo type="num" val="1"/>
        <color rgb="00F4C7C3"/>
        <color rgb="00FCE8B2"/>
        <color rgb="00B7E1CD"/>
      </colorScale>
    </cfRule>
  </conditionalFormatting>
  <conditionalFormatting sqref="H6:H12">
    <cfRule type="colorScale" priority="2">
      <colorScale>
        <cfvo type="num" val="0"/>
        <cfvo type="num" val="0.6"/>
        <cfvo type="num" val="1"/>
        <color rgb="00F4C7C3"/>
        <color rgb="00FCE8B2"/>
        <color rgb="00B7E1CD"/>
      </colorScale>
    </cfRule>
  </conditionalFormatting>
  <conditionalFormatting sqref="C23:N23">
    <cfRule type="colorScale" priority="3">
      <colorScale>
        <cfvo type="num" val="0"/>
        <cfvo type="num" val="0.6"/>
        <cfvo type="num" val="1"/>
        <color rgb="00F4C7C3"/>
        <color rgb="00FCE8B2"/>
        <color rgb="00B7E1CD"/>
      </colorScale>
    </cfRule>
  </conditionalFormatting>
  <conditionalFormatting sqref="O17:O22">
    <cfRule type="colorScale" priority="4">
      <colorScale>
        <cfvo type="num" val="0"/>
        <cfvo type="num" val="0.6"/>
        <cfvo type="num" val="1"/>
        <color rgb="00F4C7C3"/>
        <color rgb="00FCE8B2"/>
        <color rgb="00B7E1CD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44" customWidth="1" min="4" max="4"/>
    <col width="44" customWidth="1" min="5" max="5"/>
    <col width="11" customWidth="1" min="6" max="6"/>
    <col width="44" customWidth="1" min="7" max="7"/>
  </cols>
  <sheetData>
    <row r="1" ht="30" customHeight="1">
      <c r="A1" s="1" t="inlineStr">
        <is>
          <t>Objections, Sticking Points &amp; Questions</t>
        </is>
      </c>
    </row>
    <row r="2" ht="16" customHeight="1">
      <c r="A2" s="2" t="inlineStr">
        <is>
          <t>Log everything that stalled the sale. What gets logged gets trained. What gets trained gets closed.</t>
        </is>
      </c>
    </row>
    <row r="4" ht="20" customHeight="1">
      <c r="A4" s="3" t="inlineStr">
        <is>
          <t>LOG (USE THE DROPDOWN LISTS)</t>
        </is>
      </c>
    </row>
    <row r="5" ht="20" customHeight="1">
      <c r="A5" s="23" t="inlineStr">
        <is>
          <t>Date</t>
        </is>
      </c>
      <c r="B5" s="23" t="inlineStr">
        <is>
          <t>Type</t>
        </is>
      </c>
      <c r="C5" s="23" t="inlineStr">
        <is>
          <t>Category</t>
        </is>
      </c>
      <c r="D5" s="23" t="inlineStr">
        <is>
          <t>What the customer said</t>
        </is>
      </c>
      <c r="E5" s="23" t="inlineStr">
        <is>
          <t>How you answered</t>
        </is>
      </c>
      <c r="F5" s="23" t="inlineStr">
        <is>
          <t>Status</t>
        </is>
      </c>
      <c r="G5" s="23" t="inlineStr">
        <is>
          <t>Takeaway / next action</t>
        </is>
      </c>
    </row>
    <row r="6" ht="18" customHeight="1">
      <c r="A6" s="29" t="n"/>
      <c r="B6" s="29" t="n"/>
      <c r="C6" s="29" t="n"/>
      <c r="D6" s="29" t="n"/>
      <c r="E6" s="29" t="n"/>
      <c r="F6" s="29" t="n"/>
      <c r="G6" s="29" t="n"/>
    </row>
    <row r="7" ht="18" customHeight="1">
      <c r="A7" s="29" t="n"/>
      <c r="B7" s="29" t="n"/>
      <c r="C7" s="29" t="n"/>
      <c r="D7" s="29" t="n"/>
      <c r="E7" s="29" t="n"/>
      <c r="F7" s="29" t="n"/>
      <c r="G7" s="29" t="n"/>
    </row>
    <row r="8" ht="18" customHeight="1">
      <c r="A8" s="29" t="n"/>
      <c r="B8" s="29" t="n"/>
      <c r="C8" s="29" t="n"/>
      <c r="D8" s="29" t="n"/>
      <c r="E8" s="29" t="n"/>
      <c r="F8" s="29" t="n"/>
      <c r="G8" s="29" t="n"/>
    </row>
    <row r="9" ht="18" customHeight="1">
      <c r="A9" s="29" t="n"/>
      <c r="B9" s="29" t="n"/>
      <c r="C9" s="29" t="n"/>
      <c r="D9" s="29" t="n"/>
      <c r="E9" s="29" t="n"/>
      <c r="F9" s="29" t="n"/>
      <c r="G9" s="29" t="n"/>
    </row>
    <row r="10" ht="18" customHeight="1">
      <c r="A10" s="29" t="n"/>
      <c r="B10" s="29" t="n"/>
      <c r="C10" s="29" t="n"/>
      <c r="D10" s="29" t="n"/>
      <c r="E10" s="29" t="n"/>
      <c r="F10" s="29" t="n"/>
      <c r="G10" s="29" t="n"/>
    </row>
    <row r="11" ht="18" customHeight="1">
      <c r="A11" s="29" t="n"/>
      <c r="B11" s="29" t="n"/>
      <c r="C11" s="29" t="n"/>
      <c r="D11" s="29" t="n"/>
      <c r="E11" s="29" t="n"/>
      <c r="F11" s="29" t="n"/>
      <c r="G11" s="29" t="n"/>
    </row>
    <row r="12" ht="18" customHeight="1">
      <c r="A12" s="29" t="n"/>
      <c r="B12" s="29" t="n"/>
      <c r="C12" s="29" t="n"/>
      <c r="D12" s="29" t="n"/>
      <c r="E12" s="29" t="n"/>
      <c r="F12" s="29" t="n"/>
      <c r="G12" s="29" t="n"/>
    </row>
    <row r="13" ht="18" customHeight="1">
      <c r="A13" s="29" t="n"/>
      <c r="B13" s="29" t="n"/>
      <c r="C13" s="29" t="n"/>
      <c r="D13" s="29" t="n"/>
      <c r="E13" s="29" t="n"/>
      <c r="F13" s="29" t="n"/>
      <c r="G13" s="29" t="n"/>
    </row>
    <row r="14" ht="18" customHeight="1">
      <c r="A14" s="29" t="n"/>
      <c r="B14" s="29" t="n"/>
      <c r="C14" s="29" t="n"/>
      <c r="D14" s="29" t="n"/>
      <c r="E14" s="29" t="n"/>
      <c r="F14" s="29" t="n"/>
      <c r="G14" s="29" t="n"/>
    </row>
    <row r="15" ht="18" customHeight="1">
      <c r="A15" s="29" t="n"/>
      <c r="B15" s="29" t="n"/>
      <c r="C15" s="29" t="n"/>
      <c r="D15" s="29" t="n"/>
      <c r="E15" s="29" t="n"/>
      <c r="F15" s="29" t="n"/>
      <c r="G15" s="29" t="n"/>
    </row>
    <row r="16" ht="18" customHeight="1">
      <c r="A16" s="29" t="n"/>
      <c r="B16" s="29" t="n"/>
      <c r="C16" s="29" t="n"/>
      <c r="D16" s="29" t="n"/>
      <c r="E16" s="29" t="n"/>
      <c r="F16" s="29" t="n"/>
      <c r="G16" s="29" t="n"/>
    </row>
    <row r="17" ht="18" customHeight="1">
      <c r="A17" s="29" t="n"/>
      <c r="B17" s="29" t="n"/>
      <c r="C17" s="29" t="n"/>
      <c r="D17" s="29" t="n"/>
      <c r="E17" s="29" t="n"/>
      <c r="F17" s="29" t="n"/>
      <c r="G17" s="29" t="n"/>
    </row>
    <row r="18" ht="18" customHeight="1">
      <c r="A18" s="29" t="n"/>
      <c r="B18" s="29" t="n"/>
      <c r="C18" s="29" t="n"/>
      <c r="D18" s="29" t="n"/>
      <c r="E18" s="29" t="n"/>
      <c r="F18" s="29" t="n"/>
      <c r="G18" s="29" t="n"/>
    </row>
    <row r="19" ht="18" customHeight="1">
      <c r="A19" s="29" t="n"/>
      <c r="B19" s="29" t="n"/>
      <c r="C19" s="29" t="n"/>
      <c r="D19" s="29" t="n"/>
      <c r="E19" s="29" t="n"/>
      <c r="F19" s="29" t="n"/>
      <c r="G19" s="29" t="n"/>
    </row>
    <row r="20" ht="18" customHeight="1">
      <c r="A20" s="29" t="n"/>
      <c r="B20" s="29" t="n"/>
      <c r="C20" s="29" t="n"/>
      <c r="D20" s="29" t="n"/>
      <c r="E20" s="29" t="n"/>
      <c r="F20" s="29" t="n"/>
      <c r="G20" s="29" t="n"/>
    </row>
    <row r="21" ht="18" customHeight="1">
      <c r="A21" s="29" t="n"/>
      <c r="B21" s="29" t="n"/>
      <c r="C21" s="29" t="n"/>
      <c r="D21" s="29" t="n"/>
      <c r="E21" s="29" t="n"/>
      <c r="F21" s="29" t="n"/>
      <c r="G21" s="29" t="n"/>
    </row>
    <row r="22" ht="18" customHeight="1">
      <c r="A22" s="29" t="n"/>
      <c r="B22" s="29" t="n"/>
      <c r="C22" s="29" t="n"/>
      <c r="D22" s="29" t="n"/>
      <c r="E22" s="29" t="n"/>
      <c r="F22" s="29" t="n"/>
      <c r="G22" s="29" t="n"/>
    </row>
    <row r="23" ht="18" customHeight="1">
      <c r="A23" s="29" t="n"/>
      <c r="B23" s="29" t="n"/>
      <c r="C23" s="29" t="n"/>
      <c r="D23" s="29" t="n"/>
      <c r="E23" s="29" t="n"/>
      <c r="F23" s="29" t="n"/>
      <c r="G23" s="29" t="n"/>
    </row>
    <row r="24" ht="18" customHeight="1">
      <c r="A24" s="29" t="n"/>
      <c r="B24" s="29" t="n"/>
      <c r="C24" s="29" t="n"/>
      <c r="D24" s="29" t="n"/>
      <c r="E24" s="29" t="n"/>
      <c r="F24" s="29" t="n"/>
      <c r="G24" s="29" t="n"/>
    </row>
    <row r="25" ht="18" customHeight="1">
      <c r="A25" s="29" t="n"/>
      <c r="B25" s="29" t="n"/>
      <c r="C25" s="29" t="n"/>
      <c r="D25" s="29" t="n"/>
      <c r="E25" s="29" t="n"/>
      <c r="F25" s="29" t="n"/>
      <c r="G25" s="29" t="n"/>
    </row>
    <row r="26" ht="18" customHeight="1">
      <c r="A26" s="29" t="n"/>
      <c r="B26" s="29" t="n"/>
      <c r="C26" s="29" t="n"/>
      <c r="D26" s="29" t="n"/>
      <c r="E26" s="29" t="n"/>
      <c r="F26" s="29" t="n"/>
      <c r="G26" s="29" t="n"/>
    </row>
    <row r="27" ht="18" customHeight="1">
      <c r="A27" s="29" t="n"/>
      <c r="B27" s="29" t="n"/>
      <c r="C27" s="29" t="n"/>
      <c r="D27" s="29" t="n"/>
      <c r="E27" s="29" t="n"/>
      <c r="F27" s="29" t="n"/>
      <c r="G27" s="29" t="n"/>
    </row>
    <row r="28" ht="18" customHeight="1">
      <c r="A28" s="29" t="n"/>
      <c r="B28" s="29" t="n"/>
      <c r="C28" s="29" t="n"/>
      <c r="D28" s="29" t="n"/>
      <c r="E28" s="29" t="n"/>
      <c r="F28" s="29" t="n"/>
      <c r="G28" s="29" t="n"/>
    </row>
    <row r="29" ht="18" customHeight="1">
      <c r="A29" s="29" t="n"/>
      <c r="B29" s="29" t="n"/>
      <c r="C29" s="29" t="n"/>
      <c r="D29" s="29" t="n"/>
      <c r="E29" s="29" t="n"/>
      <c r="F29" s="29" t="n"/>
      <c r="G29" s="29" t="n"/>
    </row>
    <row r="30" ht="18" customHeight="1">
      <c r="A30" s="29" t="n"/>
      <c r="B30" s="29" t="n"/>
      <c r="C30" s="29" t="n"/>
      <c r="D30" s="29" t="n"/>
      <c r="E30" s="29" t="n"/>
      <c r="F30" s="29" t="n"/>
      <c r="G30" s="29" t="n"/>
    </row>
    <row r="31" ht="18" customHeight="1">
      <c r="A31" s="29" t="n"/>
      <c r="B31" s="29" t="n"/>
      <c r="C31" s="29" t="n"/>
      <c r="D31" s="29" t="n"/>
      <c r="E31" s="29" t="n"/>
      <c r="F31" s="29" t="n"/>
      <c r="G31" s="29" t="n"/>
    </row>
    <row r="32" ht="18" customHeight="1">
      <c r="A32" s="29" t="n"/>
      <c r="B32" s="29" t="n"/>
      <c r="C32" s="29" t="n"/>
      <c r="D32" s="29" t="n"/>
      <c r="E32" s="29" t="n"/>
      <c r="F32" s="29" t="n"/>
      <c r="G32" s="29" t="n"/>
    </row>
    <row r="33" ht="18" customHeight="1">
      <c r="A33" s="29" t="n"/>
      <c r="B33" s="29" t="n"/>
      <c r="C33" s="29" t="n"/>
      <c r="D33" s="29" t="n"/>
      <c r="E33" s="29" t="n"/>
      <c r="F33" s="29" t="n"/>
      <c r="G33" s="29" t="n"/>
    </row>
    <row r="34" ht="18" customHeight="1">
      <c r="A34" s="29" t="n"/>
      <c r="B34" s="29" t="n"/>
      <c r="C34" s="29" t="n"/>
      <c r="D34" s="29" t="n"/>
      <c r="E34" s="29" t="n"/>
      <c r="F34" s="29" t="n"/>
      <c r="G34" s="29" t="n"/>
    </row>
    <row r="35" ht="18" customHeight="1">
      <c r="A35" s="29" t="n"/>
      <c r="B35" s="29" t="n"/>
      <c r="C35" s="29" t="n"/>
      <c r="D35" s="29" t="n"/>
      <c r="E35" s="29" t="n"/>
      <c r="F35" s="29" t="n"/>
      <c r="G35" s="29" t="n"/>
    </row>
    <row r="36" ht="18" customHeight="1">
      <c r="A36" s="29" t="n"/>
      <c r="B36" s="29" t="n"/>
      <c r="C36" s="29" t="n"/>
      <c r="D36" s="29" t="n"/>
      <c r="E36" s="29" t="n"/>
      <c r="F36" s="29" t="n"/>
      <c r="G36" s="29" t="n"/>
    </row>
    <row r="37" ht="18" customHeight="1">
      <c r="A37" s="29" t="n"/>
      <c r="B37" s="29" t="n"/>
      <c r="C37" s="29" t="n"/>
      <c r="D37" s="29" t="n"/>
      <c r="E37" s="29" t="n"/>
      <c r="F37" s="29" t="n"/>
      <c r="G37" s="29" t="n"/>
    </row>
    <row r="38" ht="18" customHeight="1">
      <c r="A38" s="29" t="n"/>
      <c r="B38" s="29" t="n"/>
      <c r="C38" s="29" t="n"/>
      <c r="D38" s="29" t="n"/>
      <c r="E38" s="29" t="n"/>
      <c r="F38" s="29" t="n"/>
      <c r="G38" s="29" t="n"/>
    </row>
    <row r="39" ht="18" customHeight="1">
      <c r="A39" s="29" t="n"/>
      <c r="B39" s="29" t="n"/>
      <c r="C39" s="29" t="n"/>
      <c r="D39" s="29" t="n"/>
      <c r="E39" s="29" t="n"/>
      <c r="F39" s="29" t="n"/>
      <c r="G39" s="29" t="n"/>
    </row>
    <row r="40" ht="18" customHeight="1">
      <c r="A40" s="29" t="n"/>
      <c r="B40" s="29" t="n"/>
      <c r="C40" s="29" t="n"/>
      <c r="D40" s="29" t="n"/>
      <c r="E40" s="29" t="n"/>
      <c r="F40" s="29" t="n"/>
      <c r="G40" s="29" t="n"/>
    </row>
    <row r="41" ht="18" customHeight="1">
      <c r="A41" s="29" t="n"/>
      <c r="B41" s="29" t="n"/>
      <c r="C41" s="29" t="n"/>
      <c r="D41" s="29" t="n"/>
      <c r="E41" s="29" t="n"/>
      <c r="F41" s="29" t="n"/>
      <c r="G41" s="29" t="n"/>
    </row>
    <row r="42" ht="18" customHeight="1">
      <c r="A42" s="29" t="n"/>
      <c r="B42" s="29" t="n"/>
      <c r="C42" s="29" t="n"/>
      <c r="D42" s="29" t="n"/>
      <c r="E42" s="29" t="n"/>
      <c r="F42" s="29" t="n"/>
      <c r="G42" s="29" t="n"/>
    </row>
    <row r="43" ht="18" customHeight="1">
      <c r="A43" s="29" t="n"/>
      <c r="B43" s="29" t="n"/>
      <c r="C43" s="29" t="n"/>
      <c r="D43" s="29" t="n"/>
      <c r="E43" s="29" t="n"/>
      <c r="F43" s="29" t="n"/>
      <c r="G43" s="29" t="n"/>
    </row>
    <row r="44" ht="18" customHeight="1">
      <c r="A44" s="29" t="n"/>
      <c r="B44" s="29" t="n"/>
      <c r="C44" s="29" t="n"/>
      <c r="D44" s="29" t="n"/>
      <c r="E44" s="29" t="n"/>
      <c r="F44" s="29" t="n"/>
      <c r="G44" s="29" t="n"/>
    </row>
    <row r="45" ht="18" customHeight="1">
      <c r="A45" s="29" t="n"/>
      <c r="B45" s="29" t="n"/>
      <c r="C45" s="29" t="n"/>
      <c r="D45" s="29" t="n"/>
      <c r="E45" s="29" t="n"/>
      <c r="F45" s="29" t="n"/>
      <c r="G45" s="29" t="n"/>
    </row>
  </sheetData>
  <mergeCells count="3">
    <mergeCell ref="A2:G2"/>
    <mergeCell ref="A1:G1"/>
    <mergeCell ref="A4:G4"/>
  </mergeCells>
  <dataValidations count="3">
    <dataValidation sqref="B6:B45" showDropDown="0" showInputMessage="0" showErrorMessage="0" allowBlank="1" type="list">
      <formula1>"Objection,Sticking point,Question"</formula1>
    </dataValidation>
    <dataValidation sqref="C6:C45" showDropDown="0" showInputMessage="0" showErrorMessage="0" allowBlank="1" type="list">
      <formula1>"Price,Timing,Trust,Competitor,Delay,Decision-maker,Other"</formula1>
    </dataValidation>
    <dataValidation sqref="F6:F45" showDropDown="0" showInputMessage="0" showErrorMessage="0" allowBlank="1" type="list">
      <formula1>"Open,Overcome,Lost"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2026-07-05T22:59:58Z</dcterms:created>
  <dcterms:modified xmlns:dcterms="http://purl.org/dc/terms/" xmlns:xsi="http://www.w3.org/2001/XMLSchema-instance" xsi:type="dcterms:W3CDTF">2026-07-05T22:59:58Z</dcterms:modified>
</cp:coreProperties>
</file>